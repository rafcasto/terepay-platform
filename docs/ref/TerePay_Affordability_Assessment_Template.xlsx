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kennethgustilo/Downloads/"/>
    </mc:Choice>
  </mc:AlternateContent>
  <xr:revisionPtr revIDLastSave="0" documentId="13_ncr:1_{F0A78D5B-39E8-E94D-BA48-3A64D8741835}" xr6:coauthVersionLast="47" xr6:coauthVersionMax="47" xr10:uidLastSave="{00000000-0000-0000-0000-000000000000}"/>
  <bookViews>
    <workbookView xWindow="0" yWindow="640" windowWidth="25600" windowHeight="16000" xr2:uid="{00000000-000D-0000-FFFF-FFFF00000000}"/>
  </bookViews>
  <sheets>
    <sheet name="Assessment Form" sheetId="1" r:id="rId1"/>
    <sheet name="Benchmarks" sheetId="2" r:id="rId2"/>
    <sheet name="Decision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E50" i="1"/>
  <c r="E48" i="1"/>
  <c r="E49" i="1"/>
  <c r="E40" i="1"/>
  <c r="B73" i="1"/>
  <c r="E74" i="1" s="1"/>
  <c r="E75" i="1" s="1"/>
  <c r="E64" i="1"/>
  <c r="E63" i="1"/>
  <c r="E62" i="1"/>
  <c r="E61" i="1"/>
  <c r="E60" i="1"/>
  <c r="E59" i="1"/>
  <c r="E58" i="1"/>
  <c r="E54" i="1"/>
  <c r="E53" i="1"/>
  <c r="E52" i="1"/>
  <c r="E47" i="1"/>
  <c r="E46" i="1"/>
  <c r="E45" i="1"/>
  <c r="E44" i="1"/>
  <c r="E43" i="1"/>
  <c r="E42" i="1"/>
  <c r="E41" i="1"/>
  <c r="E39" i="1"/>
  <c r="E38" i="1"/>
  <c r="E37" i="1"/>
  <c r="E36" i="1"/>
  <c r="E35" i="1"/>
  <c r="E34" i="1"/>
  <c r="E33" i="1"/>
  <c r="E32" i="1"/>
  <c r="E55" i="1" s="1"/>
  <c r="E26" i="1"/>
  <c r="E25" i="1"/>
  <c r="E24" i="1"/>
  <c r="E23" i="1"/>
  <c r="E22" i="1"/>
  <c r="E21" i="1"/>
  <c r="E27" i="1" l="1"/>
  <c r="E65" i="1"/>
  <c r="E67" i="1" s="1"/>
  <c r="E71" i="1" s="1"/>
  <c r="E77" i="1" s="1"/>
  <c r="E78" i="1" l="1"/>
  <c r="E79" i="1" s="1"/>
</calcChain>
</file>

<file path=xl/sharedStrings.xml><?xml version="1.0" encoding="utf-8"?>
<sst xmlns="http://schemas.openxmlformats.org/spreadsheetml/2006/main" count="300" uniqueCount="185">
  <si>
    <t>TEREPAY AFFORDABILITY ASSESSMENT</t>
  </si>
  <si>
    <t>CUSTOMER INFORMATION</t>
  </si>
  <si>
    <t>Customer Name:</t>
  </si>
  <si>
    <t>Client ID:</t>
  </si>
  <si>
    <t>Loan Amount Requested:</t>
  </si>
  <si>
    <t>$</t>
  </si>
  <si>
    <t>Loan Term:</t>
  </si>
  <si>
    <t>8 weeks</t>
  </si>
  <si>
    <t>Assessment Date:</t>
  </si>
  <si>
    <t>Assessed By:</t>
  </si>
  <si>
    <t>Rafael</t>
  </si>
  <si>
    <t>1. DATA COLLECTION CHECKLIST</t>
  </si>
  <si>
    <t>☐</t>
  </si>
  <si>
    <t>Centrix Report obtained (Report #:         )</t>
  </si>
  <si>
    <t>First transaction date verified (90+ days required)</t>
  </si>
  <si>
    <t>Payslips received (last 2-3)</t>
  </si>
  <si>
    <t>Credit report obtained</t>
  </si>
  <si>
    <t>Employment verified (method:         )</t>
  </si>
  <si>
    <t>Visa status confirmed (expiry:         )</t>
  </si>
  <si>
    <t>2. INCOME VERIFICATION</t>
  </si>
  <si>
    <t>Income Source</t>
  </si>
  <si>
    <t>Centrix Amount</t>
  </si>
  <si>
    <t>Verified Amount</t>
  </si>
  <si>
    <t>Adjustment</t>
  </si>
  <si>
    <t>Final Amount</t>
  </si>
  <si>
    <t>Notes</t>
  </si>
  <si>
    <t>Salary/Wages</t>
  </si>
  <si>
    <t>Bonus</t>
  </si>
  <si>
    <t>Rental Income</t>
  </si>
  <si>
    <t>Government Benefits</t>
  </si>
  <si>
    <t>Investments</t>
  </si>
  <si>
    <t>Other Income</t>
  </si>
  <si>
    <t>TOTAL FORTNIGHTLY INCOME</t>
  </si>
  <si>
    <t>3. EXPENSE VERIFICATION &amp; ADJUSTMENTS</t>
  </si>
  <si>
    <t>Expense Category</t>
  </si>
  <si>
    <t>Benchmark (if used)</t>
  </si>
  <si>
    <t>Notes/Reason</t>
  </si>
  <si>
    <t>NON-DISCRETIONARY</t>
  </si>
  <si>
    <t>Food &amp; Groceries</t>
  </si>
  <si>
    <t>Utilities</t>
  </si>
  <si>
    <t>Rates</t>
  </si>
  <si>
    <t>Education</t>
  </si>
  <si>
    <t>Child Support</t>
  </si>
  <si>
    <t>Mortgage Payment</t>
  </si>
  <si>
    <t>Pets/Pet Care</t>
  </si>
  <si>
    <t>Donations/Tithing</t>
  </si>
  <si>
    <t>Remittances (overseas)</t>
  </si>
  <si>
    <t>TOTAL NON-DISCRETIONARY</t>
  </si>
  <si>
    <t>DISCRETIONARY</t>
  </si>
  <si>
    <t>Restaurants &amp; Dining</t>
  </si>
  <si>
    <t>Entertainment</t>
  </si>
  <si>
    <t>Travel</t>
  </si>
  <si>
    <t>Subscriptions</t>
  </si>
  <si>
    <t>Home Improvement</t>
  </si>
  <si>
    <t>Cash Withdrawals</t>
  </si>
  <si>
    <t>Other Discretionary</t>
  </si>
  <si>
    <t>TOTAL DISCRETIONARY</t>
  </si>
  <si>
    <t>TOTAL FORTNIGHTLY EXPENSES</t>
  </si>
  <si>
    <t>4. AFFORDABILITY CALCULATION</t>
  </si>
  <si>
    <t>Centrix Original Surplus</t>
  </si>
  <si>
    <t>(for reference)</t>
  </si>
  <si>
    <t>Calculated Surplus (Income - Expenses)</t>
  </si>
  <si>
    <t>Loan Amount Requested</t>
  </si>
  <si>
    <t>Total Repayment (with 4.7% interest)</t>
  </si>
  <si>
    <t>Fortnightly Payment (÷ 4)</t>
  </si>
  <si>
    <t>Surplus after Loan Payment</t>
  </si>
  <si>
    <t>Safety Buffer Required (20%)</t>
  </si>
  <si>
    <t>FINAL AVAILABLE SURPLUS</t>
  </si>
  <si>
    <t>5. RISK ASSESSMENT</t>
  </si>
  <si>
    <t>Employment Stability:</t>
  </si>
  <si>
    <t>Visa Status:</t>
  </si>
  <si>
    <t>Credit History:</t>
  </si>
  <si>
    <t>Income Volatility:</t>
  </si>
  <si>
    <t>Recent Defaults:</t>
  </si>
  <si>
    <t>6. DECISION</t>
  </si>
  <si>
    <t>Decision:</t>
  </si>
  <si>
    <t>Rationale (explain decision in 2-3 sentences):</t>
  </si>
  <si>
    <t>Assessed by:</t>
  </si>
  <si>
    <t>Date:</t>
  </si>
  <si>
    <t>Signature:</t>
  </si>
  <si>
    <t>EXPENSE BENCHMARKS - AUCKLAND 2026</t>
  </si>
  <si>
    <t>Category</t>
  </si>
  <si>
    <t>Weekly</t>
  </si>
  <si>
    <t>Fortnightly</t>
  </si>
  <si>
    <t>Household Type</t>
  </si>
  <si>
    <t>$120-160</t>
  </si>
  <si>
    <t>$240-320</t>
  </si>
  <si>
    <t>Single adult</t>
  </si>
  <si>
    <t>Multiply by household factor</t>
  </si>
  <si>
    <t>$40-60</t>
  </si>
  <si>
    <t>$80-120</t>
  </si>
  <si>
    <t>Power, water, internet</t>
  </si>
  <si>
    <t>Transport (Public)</t>
  </si>
  <si>
    <t>$30-50</t>
  </si>
  <si>
    <t>$60-100</t>
  </si>
  <si>
    <t>Per person</t>
  </si>
  <si>
    <t>AT HOP card, buses</t>
  </si>
  <si>
    <t>Transport (Car)</t>
  </si>
  <si>
    <t>$160-240</t>
  </si>
  <si>
    <t>Per vehicle</t>
  </si>
  <si>
    <t>Fuel, WOF, rego, maintenance</t>
  </si>
  <si>
    <t>Accommodation (Flat)</t>
  </si>
  <si>
    <t>$200-300</t>
  </si>
  <si>
    <t>$400-600</t>
  </si>
  <si>
    <t>Auckland average</t>
  </si>
  <si>
    <t>Childcare (Preschool)</t>
  </si>
  <si>
    <t>$200-400</t>
  </si>
  <si>
    <t>$400-800</t>
  </si>
  <si>
    <t>Per child</t>
  </si>
  <si>
    <t>Full-time</t>
  </si>
  <si>
    <t>Childcare (School age)</t>
  </si>
  <si>
    <t>$50-100</t>
  </si>
  <si>
    <t>$100-200</t>
  </si>
  <si>
    <t>After school care</t>
  </si>
  <si>
    <t>Medical</t>
  </si>
  <si>
    <t>$20-40</t>
  </si>
  <si>
    <t>$40-80</t>
  </si>
  <si>
    <t>GP visits, prescriptions</t>
  </si>
  <si>
    <t>Personal/Clothing</t>
  </si>
  <si>
    <t>Essential items</t>
  </si>
  <si>
    <t>HOUSEHOLD SIZE MULTIPLIERS</t>
  </si>
  <si>
    <t>Household Composition</t>
  </si>
  <si>
    <t>Multiplier</t>
  </si>
  <si>
    <t>1.0x</t>
  </si>
  <si>
    <t>2 adults</t>
  </si>
  <si>
    <t>1.5x</t>
  </si>
  <si>
    <t>2 adults + 1 child</t>
  </si>
  <si>
    <t>1.8x</t>
  </si>
  <si>
    <t>2 adults + 2 children</t>
  </si>
  <si>
    <t>2.0x</t>
  </si>
  <si>
    <t>Each additional person</t>
  </si>
  <si>
    <t>+0.3x</t>
  </si>
  <si>
    <t>IMPORTANT NOTES:</t>
  </si>
  <si>
    <t>1. Use benchmarks when borrower's stated expenses seem unrealistically low</t>
  </si>
  <si>
    <t>2. Always use the HIGHER of actual expense or benchmark</t>
  </si>
  <si>
    <t>3. Document which benchmark source was used (e.g., Stats NZ HES 2023/24)</t>
  </si>
  <si>
    <t>4. Adjust for household size using multipliers above</t>
  </si>
  <si>
    <t>5. Benchmarks are minimums - actual costs may be higher</t>
  </si>
  <si>
    <t>6. Must document WHY benchmark was used instead of actual data</t>
  </si>
  <si>
    <t>QUICK DECISION GUIDE</t>
  </si>
  <si>
    <t>MUST APPROVE IF ALL TRUE:</t>
  </si>
  <si>
    <t>✓ 90+ days of transaction data</t>
  </si>
  <si>
    <t>✓ Income verified with payslips</t>
  </si>
  <si>
    <t>✓ Visa valid for 3+ months beyond loan term</t>
  </si>
  <si>
    <t>✓ Final available surplus &gt; $0</t>
  </si>
  <si>
    <t>✓ No recent defaults (90 days)</t>
  </si>
  <si>
    <t>✓ Loan purpose is genuine emergency in NZ</t>
  </si>
  <si>
    <t>✓ All expenses reasonably verified or benchmarked</t>
  </si>
  <si>
    <t>✓ Employment is stable</t>
  </si>
  <si>
    <t>MUST DECLINE IF ANY TRUE:</t>
  </si>
  <si>
    <t>✗ Less than 90 days transaction data</t>
  </si>
  <si>
    <t>✗ Visa expiring before loan completion</t>
  </si>
  <si>
    <t>✗ Final available surplus ≤ $0</t>
  </si>
  <si>
    <t>✗ Cannot verify income</t>
  </si>
  <si>
    <t>✗ Recent payment defaults (90 days)</t>
  </si>
  <si>
    <t>✗ Loan for remittances/planned expenses</t>
  </si>
  <si>
    <t>✗ Borrower already in financial stress</t>
  </si>
  <si>
    <t>✗ Multiple existing short-term loans</t>
  </si>
  <si>
    <t>✗ Employment ending soon</t>
  </si>
  <si>
    <t>✗ Too many uncategorised transactions (&gt;$50 or &gt;2% income)</t>
  </si>
  <si>
    <t>RED FLAGS - INVESTIGATE FURTHER:</t>
  </si>
  <si>
    <t>⚠ Food/grocery expenses very low for household size</t>
  </si>
  <si>
    <t>⚠ No rent/mortgage shown but not homeowner</t>
  </si>
  <si>
    <t>⚠ Large discretionary spending with low income</t>
  </si>
  <si>
    <t>⚠ Multiple gambling transactions</t>
  </si>
  <si>
    <t>⚠ Frequent overdrafts or insufficient funds</t>
  </si>
  <si>
    <t>⚠ Recent payday loans or high-cost lending</t>
  </si>
  <si>
    <t>⚠ Large cash withdrawals</t>
  </si>
  <si>
    <t>⚠ Income not matching employment type</t>
  </si>
  <si>
    <t>Accommodation Costs (Rental Payment)</t>
  </si>
  <si>
    <t>Car Insurance</t>
  </si>
  <si>
    <t>Health Insurance</t>
  </si>
  <si>
    <t xml:space="preserve">☐ APPROVED   </t>
  </si>
  <si>
    <t>☐DECLINED</t>
  </si>
  <si>
    <t>Utilities (power, water, internet)</t>
  </si>
  <si>
    <t>Personal expenses (clothing, footwear)</t>
  </si>
  <si>
    <t>Transport (fuel, WoF/rego, maintenance)</t>
  </si>
  <si>
    <t>Medical (GP, prescriptions)</t>
  </si>
  <si>
    <t>Childcare / dependants</t>
  </si>
  <si>
    <t>Vehicle  loan payments</t>
  </si>
  <si>
    <t>Personal  loan payments</t>
  </si>
  <si>
    <t>Other  loan payments</t>
  </si>
  <si>
    <t xml:space="preserve"> loan payments  1</t>
  </si>
  <si>
    <t xml:space="preserve"> loan payments  2</t>
  </si>
  <si>
    <t>Credit Cards (min payment)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</si>
</sst>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scheme val="minor"/>
    </font>
    <font>
      <b/>
      <sz val="16"/>
      <color rgb="FF366092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b/>
      <sz val="1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2CC"/>
        <bgColor rgb="FFFFF2CC"/>
      </patternFill>
    </fill>
    <fill>
      <patternFill patternType="solid">
        <fgColor rgb="FFB4C7E7"/>
        <bgColor rgb="FFB4C7E7"/>
      </patternFill>
    </fill>
    <fill>
      <patternFill patternType="solid">
        <fgColor rgb="FFE7E6E6"/>
        <bgColor rgb="FFE7E6E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0" fillId="3" borderId="0" xfId="0" applyFill="1"/>
    <xf numFmtId="0" fontId="4" fillId="4" borderId="0" xfId="0" applyFont="1" applyFill="1"/>
    <xf numFmtId="0" fontId="4" fillId="4" borderId="1" xfId="0" applyFont="1" applyFill="1" applyBorder="1"/>
    <xf numFmtId="0" fontId="0" fillId="5" borderId="0" xfId="0" applyFill="1"/>
    <xf numFmtId="164" fontId="3" fillId="5" borderId="0" xfId="0" applyNumberFormat="1" applyFont="1" applyFill="1"/>
    <xf numFmtId="0" fontId="5" fillId="0" borderId="0" xfId="0" applyFont="1"/>
    <xf numFmtId="164" fontId="5" fillId="5" borderId="0" xfId="0" applyNumberFormat="1" applyFont="1" applyFill="1"/>
    <xf numFmtId="164" fontId="0" fillId="5" borderId="0" xfId="0" applyNumberFormat="1" applyFill="1"/>
    <xf numFmtId="0" fontId="7" fillId="0" borderId="0" xfId="0" applyFont="1"/>
    <xf numFmtId="0" fontId="4" fillId="0" borderId="0" xfId="0" applyFont="1"/>
    <xf numFmtId="0" fontId="0" fillId="3" borderId="0" xfId="0" applyFill="1" applyAlignment="1">
      <alignment vertical="top" wrapText="1"/>
    </xf>
    <xf numFmtId="0" fontId="0" fillId="0" borderId="0" xfId="0"/>
    <xf numFmtId="0" fontId="0" fillId="3" borderId="0" xfId="0" applyFill="1"/>
    <xf numFmtId="0" fontId="2" fillId="2" borderId="0" xfId="0" applyFont="1" applyFill="1"/>
    <xf numFmtId="0" fontId="3" fillId="0" borderId="0" xfId="0" applyFont="1"/>
    <xf numFmtId="0" fontId="4" fillId="4" borderId="0" xfId="0" applyFont="1" applyFill="1"/>
    <xf numFmtId="0" fontId="1" fillId="0" borderId="0" xfId="0" applyFont="1"/>
    <xf numFmtId="0" fontId="7" fillId="0" borderId="0" xfId="0" applyFont="1"/>
    <xf numFmtId="0" fontId="4" fillId="3" borderId="0" xfId="0" applyFont="1" applyFill="1"/>
    <xf numFmtId="0" fontId="4" fillId="6" borderId="0" xfId="0" applyFont="1" applyFill="1"/>
    <xf numFmtId="0" fontId="4" fillId="7" borderId="0" xfId="0" applyFont="1" applyFill="1"/>
    <xf numFmtId="0" fontId="0" fillId="0" borderId="0" xfId="0" applyAlignme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71" zoomScale="120" zoomScaleNormal="120" workbookViewId="0">
      <selection activeCell="A58" sqref="A58:A64"/>
    </sheetView>
  </sheetViews>
  <sheetFormatPr baseColWidth="10" defaultColWidth="8.83203125" defaultRowHeight="15" x14ac:dyDescent="0.2"/>
  <cols>
    <col min="1" max="1" width="35.5" customWidth="1"/>
    <col min="2" max="2" width="15" customWidth="1"/>
    <col min="3" max="3" width="18" customWidth="1"/>
    <col min="4" max="4" width="12" customWidth="1"/>
    <col min="5" max="5" width="17.1640625" customWidth="1"/>
    <col min="6" max="6" width="25" customWidth="1"/>
  </cols>
  <sheetData>
    <row r="1" spans="1:6" ht="21" x14ac:dyDescent="0.25">
      <c r="A1" s="18" t="s">
        <v>0</v>
      </c>
      <c r="B1" s="13"/>
      <c r="C1" s="13"/>
      <c r="D1" s="13"/>
      <c r="E1" s="13"/>
      <c r="F1" s="13"/>
    </row>
    <row r="3" spans="1:6" ht="16" x14ac:dyDescent="0.2">
      <c r="A3" s="15" t="s">
        <v>1</v>
      </c>
      <c r="B3" s="13"/>
      <c r="C3" s="13"/>
      <c r="D3" s="13"/>
      <c r="E3" s="13"/>
      <c r="F3" s="13"/>
    </row>
    <row r="4" spans="1:6" x14ac:dyDescent="0.2">
      <c r="A4" s="1" t="s">
        <v>2</v>
      </c>
      <c r="B4" s="2"/>
    </row>
    <row r="5" spans="1:6" x14ac:dyDescent="0.2">
      <c r="A5" s="1" t="s">
        <v>3</v>
      </c>
      <c r="E5" s="2"/>
    </row>
    <row r="6" spans="1:6" x14ac:dyDescent="0.2">
      <c r="A6" s="1" t="s">
        <v>4</v>
      </c>
      <c r="B6" s="2" t="s">
        <v>5</v>
      </c>
    </row>
    <row r="7" spans="1:6" x14ac:dyDescent="0.2">
      <c r="A7" s="1" t="s">
        <v>6</v>
      </c>
      <c r="E7" s="2" t="s">
        <v>7</v>
      </c>
    </row>
    <row r="8" spans="1:6" x14ac:dyDescent="0.2">
      <c r="A8" s="1" t="s">
        <v>8</v>
      </c>
      <c r="B8" s="2"/>
    </row>
    <row r="9" spans="1:6" x14ac:dyDescent="0.2">
      <c r="A9" s="1" t="s">
        <v>9</v>
      </c>
      <c r="E9" s="2" t="s">
        <v>10</v>
      </c>
    </row>
    <row r="11" spans="1:6" x14ac:dyDescent="0.2">
      <c r="A11" s="17" t="s">
        <v>11</v>
      </c>
      <c r="B11" s="13"/>
      <c r="C11" s="13"/>
      <c r="D11" s="13"/>
      <c r="E11" s="13"/>
      <c r="F11" s="13"/>
    </row>
    <row r="12" spans="1:6" x14ac:dyDescent="0.2">
      <c r="A12" t="s">
        <v>12</v>
      </c>
      <c r="B12" s="13" t="s">
        <v>13</v>
      </c>
      <c r="C12" s="13"/>
      <c r="D12" s="13"/>
      <c r="E12" s="13"/>
      <c r="F12" s="13"/>
    </row>
    <row r="13" spans="1:6" x14ac:dyDescent="0.2">
      <c r="A13" t="s">
        <v>12</v>
      </c>
      <c r="B13" s="13" t="s">
        <v>14</v>
      </c>
      <c r="C13" s="13"/>
      <c r="D13" s="13"/>
      <c r="E13" s="13"/>
      <c r="F13" s="13"/>
    </row>
    <row r="14" spans="1:6" x14ac:dyDescent="0.2">
      <c r="A14" t="s">
        <v>12</v>
      </c>
      <c r="B14" s="13" t="s">
        <v>15</v>
      </c>
      <c r="C14" s="13"/>
      <c r="D14" s="13"/>
      <c r="E14" s="13"/>
      <c r="F14" s="13"/>
    </row>
    <row r="15" spans="1:6" x14ac:dyDescent="0.2">
      <c r="A15" t="s">
        <v>12</v>
      </c>
      <c r="B15" s="13" t="s">
        <v>16</v>
      </c>
      <c r="C15" s="13"/>
      <c r="D15" s="13"/>
      <c r="E15" s="13"/>
      <c r="F15" s="13"/>
    </row>
    <row r="16" spans="1:6" x14ac:dyDescent="0.2">
      <c r="A16" t="s">
        <v>12</v>
      </c>
      <c r="B16" s="13" t="s">
        <v>17</v>
      </c>
      <c r="C16" s="13"/>
      <c r="D16" s="13"/>
      <c r="E16" s="13"/>
      <c r="F16" s="13"/>
    </row>
    <row r="17" spans="1:6" x14ac:dyDescent="0.2">
      <c r="A17" t="s">
        <v>12</v>
      </c>
      <c r="B17" s="13" t="s">
        <v>18</v>
      </c>
      <c r="C17" s="13"/>
      <c r="D17" s="13"/>
      <c r="E17" s="13"/>
      <c r="F17" s="13"/>
    </row>
    <row r="19" spans="1:6" ht="16" x14ac:dyDescent="0.2">
      <c r="A19" s="15" t="s">
        <v>19</v>
      </c>
      <c r="B19" s="13"/>
      <c r="C19" s="13"/>
      <c r="D19" s="13"/>
      <c r="E19" s="13"/>
      <c r="F19" s="13"/>
    </row>
    <row r="20" spans="1:6" x14ac:dyDescent="0.2">
      <c r="A20" s="4" t="s">
        <v>20</v>
      </c>
      <c r="B20" s="4" t="s">
        <v>21</v>
      </c>
      <c r="C20" s="4" t="s">
        <v>22</v>
      </c>
      <c r="D20" s="4" t="s">
        <v>23</v>
      </c>
      <c r="E20" s="4" t="s">
        <v>24</v>
      </c>
      <c r="F20" s="4" t="s">
        <v>25</v>
      </c>
    </row>
    <row r="21" spans="1:6" x14ac:dyDescent="0.2">
      <c r="A21" t="s">
        <v>26</v>
      </c>
      <c r="B21" s="2" t="s">
        <v>5</v>
      </c>
      <c r="C21" s="2" t="s">
        <v>5</v>
      </c>
      <c r="D21" s="5" t="s">
        <v>5</v>
      </c>
      <c r="E21" s="5" t="str">
        <f t="shared" ref="E21:E26" si="0">C21</f>
        <v>$</v>
      </c>
      <c r="F21" s="2"/>
    </row>
    <row r="22" spans="1:6" x14ac:dyDescent="0.2">
      <c r="A22" t="s">
        <v>27</v>
      </c>
      <c r="B22" s="2" t="s">
        <v>5</v>
      </c>
      <c r="C22" s="2" t="s">
        <v>5</v>
      </c>
      <c r="D22" s="5" t="s">
        <v>5</v>
      </c>
      <c r="E22" s="5" t="str">
        <f t="shared" si="0"/>
        <v>$</v>
      </c>
      <c r="F22" s="2"/>
    </row>
    <row r="23" spans="1:6" x14ac:dyDescent="0.2">
      <c r="A23" t="s">
        <v>28</v>
      </c>
      <c r="B23" s="2" t="s">
        <v>5</v>
      </c>
      <c r="C23" s="2" t="s">
        <v>5</v>
      </c>
      <c r="D23" s="5" t="s">
        <v>5</v>
      </c>
      <c r="E23" s="5" t="str">
        <f t="shared" si="0"/>
        <v>$</v>
      </c>
      <c r="F23" s="2"/>
    </row>
    <row r="24" spans="1:6" x14ac:dyDescent="0.2">
      <c r="A24" t="s">
        <v>29</v>
      </c>
      <c r="B24" s="2" t="s">
        <v>5</v>
      </c>
      <c r="C24" s="2" t="s">
        <v>5</v>
      </c>
      <c r="D24" s="5" t="s">
        <v>5</v>
      </c>
      <c r="E24" s="5" t="str">
        <f t="shared" si="0"/>
        <v>$</v>
      </c>
      <c r="F24" s="2"/>
    </row>
    <row r="25" spans="1:6" x14ac:dyDescent="0.2">
      <c r="A25" t="s">
        <v>30</v>
      </c>
      <c r="B25" s="2" t="s">
        <v>5</v>
      </c>
      <c r="C25" s="2" t="s">
        <v>5</v>
      </c>
      <c r="D25" s="5" t="s">
        <v>5</v>
      </c>
      <c r="E25" s="5" t="str">
        <f t="shared" si="0"/>
        <v>$</v>
      </c>
      <c r="F25" s="2"/>
    </row>
    <row r="26" spans="1:6" x14ac:dyDescent="0.2">
      <c r="A26" t="s">
        <v>31</v>
      </c>
      <c r="B26" s="2" t="s">
        <v>5</v>
      </c>
      <c r="C26" s="2" t="s">
        <v>5</v>
      </c>
      <c r="D26" s="5" t="s">
        <v>5</v>
      </c>
      <c r="E26" s="5" t="str">
        <f t="shared" si="0"/>
        <v>$</v>
      </c>
      <c r="F26" s="2"/>
    </row>
    <row r="27" spans="1:6" x14ac:dyDescent="0.2">
      <c r="A27" s="1" t="s">
        <v>32</v>
      </c>
      <c r="E27" s="6">
        <f>SUM(E21:E26)</f>
        <v>0</v>
      </c>
    </row>
    <row r="29" spans="1:6" ht="16" x14ac:dyDescent="0.2">
      <c r="A29" s="15" t="s">
        <v>33</v>
      </c>
      <c r="B29" s="13"/>
      <c r="C29" s="13"/>
      <c r="D29" s="13"/>
      <c r="E29" s="13"/>
      <c r="F29" s="13"/>
    </row>
    <row r="30" spans="1:6" x14ac:dyDescent="0.2">
      <c r="A30" s="4" t="s">
        <v>34</v>
      </c>
      <c r="B30" s="4" t="s">
        <v>21</v>
      </c>
      <c r="C30" s="4" t="s">
        <v>35</v>
      </c>
      <c r="D30" s="4" t="s">
        <v>23</v>
      </c>
      <c r="E30" s="4" t="s">
        <v>24</v>
      </c>
      <c r="F30" s="4" t="s">
        <v>36</v>
      </c>
    </row>
    <row r="31" spans="1:6" x14ac:dyDescent="0.2">
      <c r="A31" s="16" t="s">
        <v>37</v>
      </c>
      <c r="B31" s="13"/>
      <c r="C31" s="13"/>
      <c r="D31" s="13"/>
      <c r="E31" s="13"/>
      <c r="F31" s="13"/>
    </row>
    <row r="32" spans="1:6" x14ac:dyDescent="0.2">
      <c r="A32" t="s">
        <v>38</v>
      </c>
      <c r="B32" s="2" t="s">
        <v>5</v>
      </c>
      <c r="C32" s="2" t="s">
        <v>5</v>
      </c>
      <c r="D32" s="2" t="s">
        <v>5</v>
      </c>
      <c r="E32" s="5" t="e">
        <f t="shared" ref="E32:E54" si="1">MAX(B32,C32)+D32</f>
        <v>#VALUE!</v>
      </c>
      <c r="F32" s="2"/>
    </row>
    <row r="33" spans="1:6" x14ac:dyDescent="0.2">
      <c r="A33" t="s">
        <v>174</v>
      </c>
      <c r="B33" s="2" t="s">
        <v>5</v>
      </c>
      <c r="C33" s="2" t="s">
        <v>5</v>
      </c>
      <c r="D33" s="2" t="s">
        <v>5</v>
      </c>
      <c r="E33" s="5" t="e">
        <f t="shared" si="1"/>
        <v>#VALUE!</v>
      </c>
      <c r="F33" s="2"/>
    </row>
    <row r="34" spans="1:6" x14ac:dyDescent="0.2">
      <c r="A34" t="s">
        <v>175</v>
      </c>
      <c r="B34" s="2" t="s">
        <v>5</v>
      </c>
      <c r="C34" s="2" t="s">
        <v>5</v>
      </c>
      <c r="D34" s="2" t="s">
        <v>5</v>
      </c>
      <c r="E34" s="5" t="e">
        <f t="shared" si="1"/>
        <v>#VALUE!</v>
      </c>
      <c r="F34" s="2"/>
    </row>
    <row r="35" spans="1:6" x14ac:dyDescent="0.2">
      <c r="A35" t="s">
        <v>176</v>
      </c>
      <c r="B35" s="2" t="s">
        <v>5</v>
      </c>
      <c r="C35" s="2" t="s">
        <v>5</v>
      </c>
      <c r="D35" s="2" t="s">
        <v>5</v>
      </c>
      <c r="E35" s="5" t="e">
        <f t="shared" si="1"/>
        <v>#VALUE!</v>
      </c>
      <c r="F35" s="2"/>
    </row>
    <row r="36" spans="1:6" x14ac:dyDescent="0.2">
      <c r="A36" t="s">
        <v>177</v>
      </c>
      <c r="B36" s="2" t="s">
        <v>5</v>
      </c>
      <c r="C36" s="2" t="s">
        <v>5</v>
      </c>
      <c r="D36" s="2" t="s">
        <v>5</v>
      </c>
      <c r="E36" s="5" t="e">
        <f t="shared" si="1"/>
        <v>#VALUE!</v>
      </c>
      <c r="F36" s="2"/>
    </row>
    <row r="37" spans="1:6" x14ac:dyDescent="0.2">
      <c r="A37" t="s">
        <v>178</v>
      </c>
      <c r="B37" s="2" t="s">
        <v>5</v>
      </c>
      <c r="C37" s="2" t="s">
        <v>5</v>
      </c>
      <c r="D37" s="2" t="s">
        <v>5</v>
      </c>
      <c r="E37" s="5" t="e">
        <f t="shared" si="1"/>
        <v>#VALUE!</v>
      </c>
      <c r="F37" s="2"/>
    </row>
    <row r="38" spans="1:6" x14ac:dyDescent="0.2">
      <c r="A38" t="s">
        <v>169</v>
      </c>
      <c r="B38" s="2" t="s">
        <v>5</v>
      </c>
      <c r="C38" s="2" t="s">
        <v>5</v>
      </c>
      <c r="D38" s="2" t="s">
        <v>5</v>
      </c>
      <c r="E38" s="5" t="e">
        <f t="shared" si="1"/>
        <v>#VALUE!</v>
      </c>
      <c r="F38" s="2"/>
    </row>
    <row r="39" spans="1:6" x14ac:dyDescent="0.2">
      <c r="A39" t="s">
        <v>171</v>
      </c>
      <c r="B39" s="2" t="s">
        <v>5</v>
      </c>
      <c r="C39" s="2" t="s">
        <v>5</v>
      </c>
      <c r="D39" s="2" t="s">
        <v>5</v>
      </c>
      <c r="E39" s="5" t="e">
        <f t="shared" si="1"/>
        <v>#VALUE!</v>
      </c>
      <c r="F39" s="2"/>
    </row>
    <row r="40" spans="1:6" x14ac:dyDescent="0.2">
      <c r="A40" t="s">
        <v>170</v>
      </c>
      <c r="B40" s="2" t="s">
        <v>5</v>
      </c>
      <c r="C40" s="2" t="s">
        <v>5</v>
      </c>
      <c r="D40" s="2" t="s">
        <v>5</v>
      </c>
      <c r="E40" s="5" t="e">
        <f t="shared" si="1"/>
        <v>#VALUE!</v>
      </c>
      <c r="F40" s="2"/>
    </row>
    <row r="41" spans="1:6" x14ac:dyDescent="0.2">
      <c r="A41" t="s">
        <v>40</v>
      </c>
      <c r="B41" s="2" t="s">
        <v>5</v>
      </c>
      <c r="C41" s="2" t="s">
        <v>5</v>
      </c>
      <c r="D41" s="2" t="s">
        <v>5</v>
      </c>
      <c r="E41" s="5" t="e">
        <f t="shared" si="1"/>
        <v>#VALUE!</v>
      </c>
      <c r="F41" s="2"/>
    </row>
    <row r="42" spans="1:6" x14ac:dyDescent="0.2">
      <c r="A42" t="s">
        <v>41</v>
      </c>
      <c r="B42" s="2" t="s">
        <v>5</v>
      </c>
      <c r="C42" s="2" t="s">
        <v>5</v>
      </c>
      <c r="D42" s="2" t="s">
        <v>5</v>
      </c>
      <c r="E42" s="5" t="e">
        <f t="shared" si="1"/>
        <v>#VALUE!</v>
      </c>
      <c r="F42" s="2"/>
    </row>
    <row r="43" spans="1:6" x14ac:dyDescent="0.2">
      <c r="A43" t="s">
        <v>42</v>
      </c>
      <c r="B43" s="2" t="s">
        <v>5</v>
      </c>
      <c r="C43" s="2" t="s">
        <v>5</v>
      </c>
      <c r="D43" s="2" t="s">
        <v>5</v>
      </c>
      <c r="E43" s="5" t="e">
        <f t="shared" si="1"/>
        <v>#VALUE!</v>
      </c>
      <c r="F43" s="2"/>
    </row>
    <row r="44" spans="1:6" x14ac:dyDescent="0.2">
      <c r="A44" t="s">
        <v>43</v>
      </c>
      <c r="B44" s="2" t="s">
        <v>5</v>
      </c>
      <c r="C44" s="2" t="s">
        <v>5</v>
      </c>
      <c r="D44" s="2" t="s">
        <v>5</v>
      </c>
      <c r="E44" s="5" t="e">
        <f t="shared" si="1"/>
        <v>#VALUE!</v>
      </c>
      <c r="F44" s="2"/>
    </row>
    <row r="45" spans="1:6" x14ac:dyDescent="0.2">
      <c r="A45" t="s">
        <v>179</v>
      </c>
      <c r="B45" s="2" t="s">
        <v>5</v>
      </c>
      <c r="C45" s="2" t="s">
        <v>5</v>
      </c>
      <c r="D45" s="2" t="s">
        <v>5</v>
      </c>
      <c r="E45" s="5" t="e">
        <f t="shared" si="1"/>
        <v>#VALUE!</v>
      </c>
      <c r="F45" s="2"/>
    </row>
    <row r="46" spans="1:6" x14ac:dyDescent="0.2">
      <c r="A46" t="s">
        <v>180</v>
      </c>
      <c r="B46" s="2" t="s">
        <v>5</v>
      </c>
      <c r="C46" s="2" t="s">
        <v>5</v>
      </c>
      <c r="D46" s="2" t="s">
        <v>5</v>
      </c>
      <c r="E46" s="5" t="e">
        <f t="shared" si="1"/>
        <v>#VALUE!</v>
      </c>
      <c r="F46" s="2"/>
    </row>
    <row r="47" spans="1:6" x14ac:dyDescent="0.2">
      <c r="A47" t="s">
        <v>181</v>
      </c>
      <c r="B47" s="2" t="s">
        <v>5</v>
      </c>
      <c r="C47" s="2" t="s">
        <v>5</v>
      </c>
      <c r="D47" s="2" t="s">
        <v>5</v>
      </c>
      <c r="E47" s="5" t="e">
        <f t="shared" si="1"/>
        <v>#VALUE!</v>
      </c>
      <c r="F47" s="2"/>
    </row>
    <row r="48" spans="1:6" x14ac:dyDescent="0.2">
      <c r="A48" s="26" t="s">
        <v>182</v>
      </c>
      <c r="B48" s="2" t="s">
        <v>5</v>
      </c>
      <c r="C48" s="2" t="s">
        <v>5</v>
      </c>
      <c r="D48" s="2" t="s">
        <v>5</v>
      </c>
      <c r="E48" s="5" t="e">
        <f t="shared" si="1"/>
        <v>#VALUE!</v>
      </c>
      <c r="F48" s="2"/>
    </row>
    <row r="49" spans="1:6" x14ac:dyDescent="0.2">
      <c r="A49" s="26" t="s">
        <v>183</v>
      </c>
      <c r="B49" s="2" t="s">
        <v>5</v>
      </c>
      <c r="C49" s="2" t="s">
        <v>5</v>
      </c>
      <c r="D49" s="2" t="s">
        <v>5</v>
      </c>
      <c r="E49" s="5" t="e">
        <f t="shared" si="1"/>
        <v>#VALUE!</v>
      </c>
      <c r="F49" s="2"/>
    </row>
    <row r="50" spans="1:6" x14ac:dyDescent="0.2">
      <c r="A50" t="s">
        <v>184</v>
      </c>
      <c r="B50" s="2" t="s">
        <v>5</v>
      </c>
      <c r="C50" s="2" t="s">
        <v>5</v>
      </c>
      <c r="D50" s="2" t="s">
        <v>5</v>
      </c>
      <c r="E50" s="5" t="e">
        <f t="shared" si="1"/>
        <v>#VALUE!</v>
      </c>
      <c r="F50" s="2"/>
    </row>
    <row r="51" spans="1:6" x14ac:dyDescent="0.2">
      <c r="A51" t="s">
        <v>184</v>
      </c>
      <c r="B51" s="2" t="s">
        <v>5</v>
      </c>
      <c r="C51" s="2" t="s">
        <v>5</v>
      </c>
      <c r="D51" s="2" t="s">
        <v>5</v>
      </c>
      <c r="E51" s="5" t="e">
        <f t="shared" si="1"/>
        <v>#VALUE!</v>
      </c>
      <c r="F51" s="2"/>
    </row>
    <row r="52" spans="1:6" x14ac:dyDescent="0.2">
      <c r="A52" t="s">
        <v>44</v>
      </c>
      <c r="B52" s="2" t="s">
        <v>5</v>
      </c>
      <c r="C52" s="2" t="s">
        <v>5</v>
      </c>
      <c r="D52" s="2" t="s">
        <v>5</v>
      </c>
      <c r="E52" s="5" t="e">
        <f t="shared" si="1"/>
        <v>#VALUE!</v>
      </c>
      <c r="F52" s="2"/>
    </row>
    <row r="53" spans="1:6" x14ac:dyDescent="0.2">
      <c r="A53" t="s">
        <v>45</v>
      </c>
      <c r="B53" s="2" t="s">
        <v>5</v>
      </c>
      <c r="C53" s="2" t="s">
        <v>5</v>
      </c>
      <c r="D53" s="2" t="s">
        <v>5</v>
      </c>
      <c r="E53" s="5" t="e">
        <f t="shared" si="1"/>
        <v>#VALUE!</v>
      </c>
      <c r="F53" s="2"/>
    </row>
    <row r="54" spans="1:6" x14ac:dyDescent="0.2">
      <c r="A54" t="s">
        <v>46</v>
      </c>
      <c r="B54" s="2" t="s">
        <v>5</v>
      </c>
      <c r="C54" s="2" t="s">
        <v>5</v>
      </c>
      <c r="D54" s="2" t="s">
        <v>5</v>
      </c>
      <c r="E54" s="5" t="e">
        <f t="shared" si="1"/>
        <v>#VALUE!</v>
      </c>
      <c r="F54" s="2"/>
    </row>
    <row r="55" spans="1:6" x14ac:dyDescent="0.2">
      <c r="A55" s="1" t="s">
        <v>47</v>
      </c>
      <c r="E55" s="6" t="e">
        <f>SUM(E32:E54)</f>
        <v>#VALUE!</v>
      </c>
    </row>
    <row r="57" spans="1:6" x14ac:dyDescent="0.2">
      <c r="A57" s="1" t="s">
        <v>48</v>
      </c>
    </row>
    <row r="58" spans="1:6" x14ac:dyDescent="0.2">
      <c r="A58" t="s">
        <v>49</v>
      </c>
      <c r="B58" s="2" t="s">
        <v>5</v>
      </c>
      <c r="E58" s="5" t="str">
        <f t="shared" ref="E58:E64" si="2">B58</f>
        <v>$</v>
      </c>
      <c r="F58" s="2"/>
    </row>
    <row r="59" spans="1:6" x14ac:dyDescent="0.2">
      <c r="A59" t="s">
        <v>50</v>
      </c>
      <c r="B59" s="2" t="s">
        <v>5</v>
      </c>
      <c r="E59" s="5" t="str">
        <f t="shared" si="2"/>
        <v>$</v>
      </c>
      <c r="F59" s="2"/>
    </row>
    <row r="60" spans="1:6" x14ac:dyDescent="0.2">
      <c r="A60" t="s">
        <v>51</v>
      </c>
      <c r="B60" s="2" t="s">
        <v>5</v>
      </c>
      <c r="E60" s="5" t="str">
        <f t="shared" si="2"/>
        <v>$</v>
      </c>
      <c r="F60" s="2"/>
    </row>
    <row r="61" spans="1:6" x14ac:dyDescent="0.2">
      <c r="A61" t="s">
        <v>52</v>
      </c>
      <c r="B61" s="2" t="s">
        <v>5</v>
      </c>
      <c r="E61" s="5" t="str">
        <f t="shared" si="2"/>
        <v>$</v>
      </c>
      <c r="F61" s="2"/>
    </row>
    <row r="62" spans="1:6" x14ac:dyDescent="0.2">
      <c r="A62" t="s">
        <v>53</v>
      </c>
      <c r="B62" s="2" t="s">
        <v>5</v>
      </c>
      <c r="E62" s="5" t="str">
        <f t="shared" si="2"/>
        <v>$</v>
      </c>
      <c r="F62" s="2"/>
    </row>
    <row r="63" spans="1:6" x14ac:dyDescent="0.2">
      <c r="A63" t="s">
        <v>54</v>
      </c>
      <c r="B63" s="2" t="s">
        <v>5</v>
      </c>
      <c r="E63" s="5" t="str">
        <f t="shared" si="2"/>
        <v>$</v>
      </c>
      <c r="F63" s="2"/>
    </row>
    <row r="64" spans="1:6" x14ac:dyDescent="0.2">
      <c r="A64" t="s">
        <v>55</v>
      </c>
      <c r="B64" s="2" t="s">
        <v>5</v>
      </c>
      <c r="E64" s="5" t="str">
        <f t="shared" si="2"/>
        <v>$</v>
      </c>
      <c r="F64" s="2"/>
    </row>
    <row r="65" spans="1:6" x14ac:dyDescent="0.2">
      <c r="A65" s="1" t="s">
        <v>56</v>
      </c>
      <c r="E65" s="6">
        <f>SUM(E58:E64)</f>
        <v>0</v>
      </c>
    </row>
    <row r="67" spans="1:6" ht="16" x14ac:dyDescent="0.2">
      <c r="A67" s="7" t="s">
        <v>57</v>
      </c>
      <c r="E67" s="8" t="e">
        <f>E55+E65</f>
        <v>#VALUE!</v>
      </c>
    </row>
    <row r="69" spans="1:6" ht="16" x14ac:dyDescent="0.2">
      <c r="A69" s="15" t="s">
        <v>58</v>
      </c>
      <c r="B69" s="13"/>
      <c r="C69" s="13"/>
      <c r="D69" s="13"/>
      <c r="E69" s="13"/>
      <c r="F69" s="13"/>
    </row>
    <row r="70" spans="1:6" x14ac:dyDescent="0.2">
      <c r="A70" t="s">
        <v>59</v>
      </c>
      <c r="B70" s="2" t="s">
        <v>5</v>
      </c>
      <c r="C70" s="13" t="s">
        <v>60</v>
      </c>
      <c r="D70" s="13"/>
      <c r="E70" s="13"/>
      <c r="F70" s="13"/>
    </row>
    <row r="71" spans="1:6" x14ac:dyDescent="0.2">
      <c r="A71" t="s">
        <v>61</v>
      </c>
      <c r="E71" s="6" t="e">
        <f>E27-E67</f>
        <v>#VALUE!</v>
      </c>
    </row>
    <row r="73" spans="1:6" x14ac:dyDescent="0.2">
      <c r="A73" t="s">
        <v>62</v>
      </c>
      <c r="B73" s="9">
        <f>B5</f>
        <v>0</v>
      </c>
    </row>
    <row r="74" spans="1:6" x14ac:dyDescent="0.2">
      <c r="A74" t="s">
        <v>63</v>
      </c>
      <c r="E74" s="9">
        <f>B73*1.047</f>
        <v>0</v>
      </c>
    </row>
    <row r="75" spans="1:6" x14ac:dyDescent="0.2">
      <c r="A75" t="s">
        <v>64</v>
      </c>
      <c r="E75" s="6">
        <f>E74/4</f>
        <v>0</v>
      </c>
    </row>
    <row r="77" spans="1:6" x14ac:dyDescent="0.2">
      <c r="A77" t="s">
        <v>65</v>
      </c>
      <c r="E77" s="9" t="e">
        <f>E71-E75</f>
        <v>#VALUE!</v>
      </c>
    </row>
    <row r="78" spans="1:6" x14ac:dyDescent="0.2">
      <c r="A78" t="s">
        <v>66</v>
      </c>
      <c r="E78" s="9" t="e">
        <f>E77*0.2</f>
        <v>#VALUE!</v>
      </c>
    </row>
    <row r="79" spans="1:6" ht="16" x14ac:dyDescent="0.2">
      <c r="A79" s="7" t="s">
        <v>67</v>
      </c>
      <c r="E79" s="8" t="e">
        <f>E77-E78</f>
        <v>#VALUE!</v>
      </c>
    </row>
    <row r="81" spans="1:6" ht="16" x14ac:dyDescent="0.2">
      <c r="A81" s="15" t="s">
        <v>68</v>
      </c>
      <c r="B81" s="13"/>
      <c r="C81" s="13"/>
      <c r="D81" s="13"/>
      <c r="E81" s="13"/>
      <c r="F81" s="13"/>
    </row>
    <row r="82" spans="1:6" x14ac:dyDescent="0.2">
      <c r="A82" s="1" t="s">
        <v>69</v>
      </c>
      <c r="B82" s="14"/>
      <c r="C82" s="13"/>
      <c r="D82" s="13"/>
      <c r="E82" s="13"/>
      <c r="F82" s="13"/>
    </row>
    <row r="83" spans="1:6" x14ac:dyDescent="0.2">
      <c r="A83" s="1" t="s">
        <v>70</v>
      </c>
      <c r="B83" s="14"/>
      <c r="C83" s="13"/>
      <c r="D83" s="13"/>
      <c r="E83" s="13"/>
      <c r="F83" s="13"/>
    </row>
    <row r="84" spans="1:6" x14ac:dyDescent="0.2">
      <c r="A84" s="1" t="s">
        <v>71</v>
      </c>
      <c r="B84" s="14"/>
      <c r="C84" s="13"/>
      <c r="D84" s="13"/>
      <c r="E84" s="13"/>
      <c r="F84" s="13"/>
    </row>
    <row r="85" spans="1:6" x14ac:dyDescent="0.2">
      <c r="A85" s="1" t="s">
        <v>72</v>
      </c>
      <c r="B85" s="14"/>
      <c r="C85" s="13"/>
      <c r="D85" s="13"/>
      <c r="E85" s="13"/>
      <c r="F85" s="13"/>
    </row>
    <row r="86" spans="1:6" x14ac:dyDescent="0.2">
      <c r="A86" s="1" t="s">
        <v>73</v>
      </c>
      <c r="B86" s="14"/>
      <c r="C86" s="13"/>
      <c r="D86" s="13"/>
      <c r="E86" s="13"/>
      <c r="F86" s="13"/>
    </row>
    <row r="88" spans="1:6" ht="16" x14ac:dyDescent="0.2">
      <c r="A88" s="15" t="s">
        <v>74</v>
      </c>
      <c r="B88" s="13"/>
      <c r="C88" s="13"/>
      <c r="D88" s="13"/>
      <c r="E88" s="13"/>
      <c r="F88" s="13"/>
    </row>
    <row r="89" spans="1:6" ht="16" x14ac:dyDescent="0.2">
      <c r="A89" s="7" t="s">
        <v>75</v>
      </c>
      <c r="B89" s="24" t="s">
        <v>172</v>
      </c>
      <c r="C89" s="24"/>
      <c r="D89" s="25" t="s">
        <v>173</v>
      </c>
      <c r="E89" s="25"/>
      <c r="F89" s="23"/>
    </row>
    <row r="91" spans="1:6" x14ac:dyDescent="0.2">
      <c r="A91" s="16" t="s">
        <v>76</v>
      </c>
      <c r="B91" s="13"/>
      <c r="C91" s="13"/>
      <c r="D91" s="13"/>
      <c r="E91" s="13"/>
      <c r="F91" s="13"/>
    </row>
    <row r="92" spans="1:6" x14ac:dyDescent="0.2">
      <c r="A92" s="12"/>
      <c r="B92" s="13"/>
      <c r="C92" s="13"/>
      <c r="D92" s="13"/>
      <c r="E92" s="13"/>
      <c r="F92" s="13"/>
    </row>
    <row r="93" spans="1:6" x14ac:dyDescent="0.2">
      <c r="A93" s="12"/>
      <c r="B93" s="13"/>
      <c r="C93" s="13"/>
      <c r="D93" s="13"/>
      <c r="E93" s="13"/>
      <c r="F93" s="13"/>
    </row>
    <row r="94" spans="1:6" x14ac:dyDescent="0.2">
      <c r="A94" s="12"/>
      <c r="B94" s="13"/>
      <c r="C94" s="13"/>
      <c r="D94" s="13"/>
      <c r="E94" s="13"/>
      <c r="F94" s="13"/>
    </row>
    <row r="95" spans="1:6" x14ac:dyDescent="0.2">
      <c r="A95" s="12"/>
      <c r="B95" s="13"/>
      <c r="C95" s="13"/>
      <c r="D95" s="13"/>
      <c r="E95" s="13"/>
      <c r="F95" s="13"/>
    </row>
    <row r="97" spans="1:5" x14ac:dyDescent="0.2">
      <c r="A97" s="1" t="s">
        <v>77</v>
      </c>
      <c r="C97" s="1" t="s">
        <v>78</v>
      </c>
      <c r="E97" s="1" t="s">
        <v>79</v>
      </c>
    </row>
  </sheetData>
  <mergeCells count="28">
    <mergeCell ref="A1:F1"/>
    <mergeCell ref="B85:F85"/>
    <mergeCell ref="A93:F93"/>
    <mergeCell ref="B84:F84"/>
    <mergeCell ref="A92:F92"/>
    <mergeCell ref="B89:C89"/>
    <mergeCell ref="D89:E89"/>
    <mergeCell ref="A88:F88"/>
    <mergeCell ref="C70:F70"/>
    <mergeCell ref="A69:F69"/>
    <mergeCell ref="A11:F11"/>
    <mergeCell ref="B15:F15"/>
    <mergeCell ref="A95:F95"/>
    <mergeCell ref="B16:F16"/>
    <mergeCell ref="B86:F86"/>
    <mergeCell ref="A94:F94"/>
    <mergeCell ref="A3:F3"/>
    <mergeCell ref="A91:F91"/>
    <mergeCell ref="B12:F12"/>
    <mergeCell ref="B82:F82"/>
    <mergeCell ref="A81:F81"/>
    <mergeCell ref="B14:F14"/>
    <mergeCell ref="B17:F17"/>
    <mergeCell ref="A29:F29"/>
    <mergeCell ref="B13:F13"/>
    <mergeCell ref="A19:F19"/>
    <mergeCell ref="B83:F83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>
      <selection sqref="A1:E1"/>
    </sheetView>
  </sheetViews>
  <sheetFormatPr baseColWidth="10" defaultColWidth="8.83203125" defaultRowHeight="15" x14ac:dyDescent="0.2"/>
  <cols>
    <col min="1" max="1" width="25" customWidth="1"/>
    <col min="2" max="3" width="15" customWidth="1"/>
    <col min="4" max="4" width="20" customWidth="1"/>
    <col min="5" max="5" width="30" customWidth="1"/>
  </cols>
  <sheetData>
    <row r="1" spans="1:5" ht="19" x14ac:dyDescent="0.25">
      <c r="A1" s="19" t="s">
        <v>80</v>
      </c>
      <c r="B1" s="13"/>
      <c r="C1" s="13"/>
      <c r="D1" s="13"/>
      <c r="E1" s="13"/>
    </row>
    <row r="3" spans="1:5" x14ac:dyDescent="0.2">
      <c r="A3" s="3" t="s">
        <v>81</v>
      </c>
      <c r="B3" s="3" t="s">
        <v>82</v>
      </c>
      <c r="C3" s="3" t="s">
        <v>83</v>
      </c>
      <c r="D3" s="3" t="s">
        <v>84</v>
      </c>
      <c r="E3" s="3" t="s">
        <v>25</v>
      </c>
    </row>
    <row r="4" spans="1:5" x14ac:dyDescent="0.2">
      <c r="A4" t="s">
        <v>38</v>
      </c>
      <c r="B4" t="s">
        <v>85</v>
      </c>
      <c r="C4" t="s">
        <v>86</v>
      </c>
      <c r="D4" t="s">
        <v>87</v>
      </c>
      <c r="E4" t="s">
        <v>88</v>
      </c>
    </row>
    <row r="5" spans="1:5" x14ac:dyDescent="0.2">
      <c r="A5" t="s">
        <v>39</v>
      </c>
      <c r="B5" t="s">
        <v>89</v>
      </c>
      <c r="C5" t="s">
        <v>90</v>
      </c>
      <c r="D5" t="s">
        <v>87</v>
      </c>
      <c r="E5" t="s">
        <v>91</v>
      </c>
    </row>
    <row r="6" spans="1:5" x14ac:dyDescent="0.2">
      <c r="A6" t="s">
        <v>92</v>
      </c>
      <c r="B6" t="s">
        <v>93</v>
      </c>
      <c r="C6" t="s">
        <v>94</v>
      </c>
      <c r="D6" t="s">
        <v>95</v>
      </c>
      <c r="E6" t="s">
        <v>96</v>
      </c>
    </row>
    <row r="7" spans="1:5" x14ac:dyDescent="0.2">
      <c r="A7" t="s">
        <v>97</v>
      </c>
      <c r="B7" t="s">
        <v>90</v>
      </c>
      <c r="C7" t="s">
        <v>98</v>
      </c>
      <c r="D7" t="s">
        <v>99</v>
      </c>
      <c r="E7" t="s">
        <v>100</v>
      </c>
    </row>
    <row r="8" spans="1:5" x14ac:dyDescent="0.2">
      <c r="A8" t="s">
        <v>101</v>
      </c>
      <c r="B8" t="s">
        <v>102</v>
      </c>
      <c r="C8" t="s">
        <v>103</v>
      </c>
      <c r="D8" t="s">
        <v>95</v>
      </c>
      <c r="E8" t="s">
        <v>104</v>
      </c>
    </row>
    <row r="9" spans="1:5" x14ac:dyDescent="0.2">
      <c r="A9" t="s">
        <v>105</v>
      </c>
      <c r="B9" t="s">
        <v>106</v>
      </c>
      <c r="C9" t="s">
        <v>107</v>
      </c>
      <c r="D9" t="s">
        <v>108</v>
      </c>
      <c r="E9" t="s">
        <v>109</v>
      </c>
    </row>
    <row r="10" spans="1:5" x14ac:dyDescent="0.2">
      <c r="A10" t="s">
        <v>110</v>
      </c>
      <c r="B10" t="s">
        <v>111</v>
      </c>
      <c r="C10" t="s">
        <v>112</v>
      </c>
      <c r="D10" t="s">
        <v>108</v>
      </c>
      <c r="E10" t="s">
        <v>113</v>
      </c>
    </row>
    <row r="11" spans="1:5" x14ac:dyDescent="0.2">
      <c r="A11" t="s">
        <v>114</v>
      </c>
      <c r="B11" t="s">
        <v>115</v>
      </c>
      <c r="C11" t="s">
        <v>116</v>
      </c>
      <c r="D11" t="s">
        <v>95</v>
      </c>
      <c r="E11" t="s">
        <v>117</v>
      </c>
    </row>
    <row r="12" spans="1:5" x14ac:dyDescent="0.2">
      <c r="A12" t="s">
        <v>118</v>
      </c>
      <c r="B12" t="s">
        <v>93</v>
      </c>
      <c r="C12" t="s">
        <v>94</v>
      </c>
      <c r="D12" t="s">
        <v>95</v>
      </c>
      <c r="E12" t="s">
        <v>119</v>
      </c>
    </row>
    <row r="15" spans="1:5" ht="16" x14ac:dyDescent="0.2">
      <c r="A15" s="7" t="s">
        <v>120</v>
      </c>
    </row>
    <row r="16" spans="1:5" x14ac:dyDescent="0.2">
      <c r="A16" s="3" t="s">
        <v>121</v>
      </c>
      <c r="B16" s="3" t="s">
        <v>122</v>
      </c>
    </row>
    <row r="17" spans="1:5" x14ac:dyDescent="0.2">
      <c r="A17" t="s">
        <v>87</v>
      </c>
      <c r="B17" t="s">
        <v>123</v>
      </c>
    </row>
    <row r="18" spans="1:5" x14ac:dyDescent="0.2">
      <c r="A18" t="s">
        <v>124</v>
      </c>
      <c r="B18" t="s">
        <v>125</v>
      </c>
    </row>
    <row r="19" spans="1:5" x14ac:dyDescent="0.2">
      <c r="A19" t="s">
        <v>126</v>
      </c>
      <c r="B19" t="s">
        <v>127</v>
      </c>
    </row>
    <row r="20" spans="1:5" x14ac:dyDescent="0.2">
      <c r="A20" t="s">
        <v>128</v>
      </c>
      <c r="B20" t="s">
        <v>129</v>
      </c>
    </row>
    <row r="21" spans="1:5" x14ac:dyDescent="0.2">
      <c r="A21" t="s">
        <v>130</v>
      </c>
      <c r="B21" t="s">
        <v>131</v>
      </c>
    </row>
    <row r="24" spans="1:5" x14ac:dyDescent="0.2">
      <c r="A24" s="11" t="s">
        <v>132</v>
      </c>
    </row>
    <row r="25" spans="1:5" x14ac:dyDescent="0.2">
      <c r="A25" s="13" t="s">
        <v>133</v>
      </c>
      <c r="B25" s="13"/>
      <c r="C25" s="13"/>
      <c r="D25" s="13"/>
      <c r="E25" s="13"/>
    </row>
    <row r="26" spans="1:5" x14ac:dyDescent="0.2">
      <c r="A26" s="13" t="s">
        <v>134</v>
      </c>
      <c r="B26" s="13"/>
      <c r="C26" s="13"/>
      <c r="D26" s="13"/>
      <c r="E26" s="13"/>
    </row>
    <row r="27" spans="1:5" x14ac:dyDescent="0.2">
      <c r="A27" s="13" t="s">
        <v>135</v>
      </c>
      <c r="B27" s="13"/>
      <c r="C27" s="13"/>
      <c r="D27" s="13"/>
      <c r="E27" s="13"/>
    </row>
    <row r="28" spans="1:5" x14ac:dyDescent="0.2">
      <c r="A28" s="13" t="s">
        <v>136</v>
      </c>
      <c r="B28" s="13"/>
      <c r="C28" s="13"/>
      <c r="D28" s="13"/>
      <c r="E28" s="13"/>
    </row>
    <row r="29" spans="1:5" x14ac:dyDescent="0.2">
      <c r="A29" s="13" t="s">
        <v>137</v>
      </c>
      <c r="B29" s="13"/>
      <c r="C29" s="13"/>
      <c r="D29" s="13"/>
      <c r="E29" s="13"/>
    </row>
    <row r="30" spans="1:5" x14ac:dyDescent="0.2">
      <c r="A30" s="13" t="s">
        <v>138</v>
      </c>
      <c r="B30" s="13"/>
      <c r="C30" s="13"/>
      <c r="D30" s="13"/>
      <c r="E30" s="13"/>
    </row>
  </sheetData>
  <mergeCells count="7">
    <mergeCell ref="A1:E1"/>
    <mergeCell ref="A27:E27"/>
    <mergeCell ref="A30:E30"/>
    <mergeCell ref="A29:E29"/>
    <mergeCell ref="A26:E26"/>
    <mergeCell ref="A28:E28"/>
    <mergeCell ref="A25:E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5"/>
  <sheetViews>
    <sheetView workbookViewId="0"/>
  </sheetViews>
  <sheetFormatPr baseColWidth="10" defaultColWidth="8.83203125" defaultRowHeight="15" x14ac:dyDescent="0.2"/>
  <cols>
    <col min="1" max="1" width="60" customWidth="1"/>
    <col min="2" max="2" width="20" customWidth="1"/>
  </cols>
  <sheetData>
    <row r="1" spans="1:2" ht="19" x14ac:dyDescent="0.25">
      <c r="A1" s="10" t="s">
        <v>139</v>
      </c>
    </row>
    <row r="3" spans="1:2" x14ac:dyDescent="0.2">
      <c r="A3" s="21" t="s">
        <v>140</v>
      </c>
      <c r="B3" s="13"/>
    </row>
    <row r="4" spans="1:2" x14ac:dyDescent="0.2">
      <c r="A4" s="13" t="s">
        <v>141</v>
      </c>
      <c r="B4" s="13"/>
    </row>
    <row r="5" spans="1:2" x14ac:dyDescent="0.2">
      <c r="A5" s="13" t="s">
        <v>142</v>
      </c>
      <c r="B5" s="13"/>
    </row>
    <row r="6" spans="1:2" x14ac:dyDescent="0.2">
      <c r="A6" s="13" t="s">
        <v>143</v>
      </c>
      <c r="B6" s="13"/>
    </row>
    <row r="7" spans="1:2" x14ac:dyDescent="0.2">
      <c r="A7" s="13" t="s">
        <v>144</v>
      </c>
      <c r="B7" s="13"/>
    </row>
    <row r="8" spans="1:2" x14ac:dyDescent="0.2">
      <c r="A8" s="13" t="s">
        <v>145</v>
      </c>
      <c r="B8" s="13"/>
    </row>
    <row r="9" spans="1:2" x14ac:dyDescent="0.2">
      <c r="A9" s="13" t="s">
        <v>146</v>
      </c>
      <c r="B9" s="13"/>
    </row>
    <row r="10" spans="1:2" x14ac:dyDescent="0.2">
      <c r="A10" s="13" t="s">
        <v>147</v>
      </c>
      <c r="B10" s="13"/>
    </row>
    <row r="11" spans="1:2" x14ac:dyDescent="0.2">
      <c r="A11" s="13" t="s">
        <v>148</v>
      </c>
      <c r="B11" s="13"/>
    </row>
    <row r="14" spans="1:2" x14ac:dyDescent="0.2">
      <c r="A14" s="22" t="s">
        <v>149</v>
      </c>
      <c r="B14" s="13"/>
    </row>
    <row r="15" spans="1:2" x14ac:dyDescent="0.2">
      <c r="A15" s="13" t="s">
        <v>150</v>
      </c>
      <c r="B15" s="13"/>
    </row>
    <row r="16" spans="1:2" x14ac:dyDescent="0.2">
      <c r="A16" s="13" t="s">
        <v>151</v>
      </c>
      <c r="B16" s="13"/>
    </row>
    <row r="17" spans="1:2" x14ac:dyDescent="0.2">
      <c r="A17" s="13" t="s">
        <v>152</v>
      </c>
      <c r="B17" s="13"/>
    </row>
    <row r="18" spans="1:2" x14ac:dyDescent="0.2">
      <c r="A18" s="13" t="s">
        <v>153</v>
      </c>
      <c r="B18" s="13"/>
    </row>
    <row r="19" spans="1:2" x14ac:dyDescent="0.2">
      <c r="A19" s="13" t="s">
        <v>154</v>
      </c>
      <c r="B19" s="13"/>
    </row>
    <row r="20" spans="1:2" x14ac:dyDescent="0.2">
      <c r="A20" s="13" t="s">
        <v>155</v>
      </c>
      <c r="B20" s="13"/>
    </row>
    <row r="21" spans="1:2" x14ac:dyDescent="0.2">
      <c r="A21" s="13" t="s">
        <v>156</v>
      </c>
      <c r="B21" s="13"/>
    </row>
    <row r="22" spans="1:2" x14ac:dyDescent="0.2">
      <c r="A22" s="13" t="s">
        <v>157</v>
      </c>
      <c r="B22" s="13"/>
    </row>
    <row r="23" spans="1:2" x14ac:dyDescent="0.2">
      <c r="A23" s="13" t="s">
        <v>158</v>
      </c>
      <c r="B23" s="13"/>
    </row>
    <row r="24" spans="1:2" x14ac:dyDescent="0.2">
      <c r="A24" s="13" t="s">
        <v>159</v>
      </c>
      <c r="B24" s="13"/>
    </row>
    <row r="27" spans="1:2" x14ac:dyDescent="0.2">
      <c r="A27" s="20" t="s">
        <v>160</v>
      </c>
      <c r="B27" s="13"/>
    </row>
    <row r="28" spans="1:2" x14ac:dyDescent="0.2">
      <c r="A28" s="13" t="s">
        <v>161</v>
      </c>
      <c r="B28" s="13"/>
    </row>
    <row r="29" spans="1:2" x14ac:dyDescent="0.2">
      <c r="A29" s="13" t="s">
        <v>162</v>
      </c>
      <c r="B29" s="13"/>
    </row>
    <row r="30" spans="1:2" x14ac:dyDescent="0.2">
      <c r="A30" s="13" t="s">
        <v>163</v>
      </c>
      <c r="B30" s="13"/>
    </row>
    <row r="31" spans="1:2" x14ac:dyDescent="0.2">
      <c r="A31" s="13" t="s">
        <v>164</v>
      </c>
      <c r="B31" s="13"/>
    </row>
    <row r="32" spans="1:2" x14ac:dyDescent="0.2">
      <c r="A32" s="13" t="s">
        <v>165</v>
      </c>
      <c r="B32" s="13"/>
    </row>
    <row r="33" spans="1:2" x14ac:dyDescent="0.2">
      <c r="A33" s="13" t="s">
        <v>166</v>
      </c>
      <c r="B33" s="13"/>
    </row>
    <row r="34" spans="1:2" x14ac:dyDescent="0.2">
      <c r="A34" s="13" t="s">
        <v>167</v>
      </c>
      <c r="B34" s="13"/>
    </row>
    <row r="35" spans="1:2" x14ac:dyDescent="0.2">
      <c r="A35" s="13" t="s">
        <v>168</v>
      </c>
      <c r="B35" s="13"/>
    </row>
  </sheetData>
  <mergeCells count="29">
    <mergeCell ref="A35:B35"/>
    <mergeCell ref="A4:B4"/>
    <mergeCell ref="A20:B20"/>
    <mergeCell ref="A29:B29"/>
    <mergeCell ref="A19:B19"/>
    <mergeCell ref="A10:B10"/>
    <mergeCell ref="A28:B28"/>
    <mergeCell ref="A9:B9"/>
    <mergeCell ref="A31:B31"/>
    <mergeCell ref="A34:B34"/>
    <mergeCell ref="A3:B3"/>
    <mergeCell ref="A21:B21"/>
    <mergeCell ref="A33:B33"/>
    <mergeCell ref="A5:B5"/>
    <mergeCell ref="A32:B32"/>
    <mergeCell ref="A14:B14"/>
    <mergeCell ref="A23:B23"/>
    <mergeCell ref="A17:B17"/>
    <mergeCell ref="A8:B8"/>
    <mergeCell ref="A22:B22"/>
    <mergeCell ref="A24:B24"/>
    <mergeCell ref="A30:B30"/>
    <mergeCell ref="A15:B15"/>
    <mergeCell ref="A11:B11"/>
    <mergeCell ref="A6:B6"/>
    <mergeCell ref="A16:B16"/>
    <mergeCell ref="A7:B7"/>
    <mergeCell ref="A18:B18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Assessment Form</vt:lpstr>
      <vt:lpstr>Benchmarks</vt:lpstr>
      <vt:lpstr>Decision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Gustilo (WDHB)</cp:lastModifiedBy>
  <dcterms:created xsi:type="dcterms:W3CDTF">2026-01-12T21:53:08Z</dcterms:created>
  <dcterms:modified xsi:type="dcterms:W3CDTF">2026-02-01T23:46:44Z</dcterms:modified>
</cp:coreProperties>
</file>