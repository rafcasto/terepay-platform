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kennethgustilo/Downloads/"/>
    </mc:Choice>
  </mc:AlternateContent>
  <xr:revisionPtr revIDLastSave="0" documentId="13_ncr:1_{7968C250-0347-2740-B228-614CB292BC33}" xr6:coauthVersionLast="47" xr6:coauthVersionMax="47" xr10:uidLastSave="{00000000-0000-0000-0000-000000000000}"/>
  <bookViews>
    <workbookView xWindow="25600" yWindow="-3120" windowWidth="38400" windowHeight="21600" xr2:uid="{00000000-000D-0000-FFFF-FFFF00000000}"/>
  </bookViews>
  <sheets>
    <sheet name="Affordability Calculator" sheetId="1" r:id="rId1"/>
    <sheet name="Benchmarks" sheetId="2" r:id="rId2"/>
    <sheet name="Quick Gui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3" i="1" l="1"/>
  <c r="D87" i="1"/>
  <c r="D91" i="1" s="1"/>
  <c r="D86" i="1"/>
  <c r="D74" i="1"/>
  <c r="D73" i="1"/>
  <c r="D72" i="1"/>
  <c r="D71" i="1"/>
  <c r="D68" i="1"/>
  <c r="D67" i="1"/>
  <c r="D66" i="1"/>
  <c r="D65" i="1"/>
  <c r="D64" i="1"/>
  <c r="D61" i="1"/>
  <c r="D59" i="1"/>
  <c r="D58" i="1"/>
  <c r="D57" i="1"/>
  <c r="D56" i="1"/>
  <c r="D53" i="1"/>
  <c r="D52" i="1"/>
  <c r="D51" i="1"/>
  <c r="D50" i="1"/>
  <c r="C47" i="1"/>
  <c r="D47" i="1" s="1"/>
  <c r="C46" i="1"/>
  <c r="D46" i="1" s="1"/>
  <c r="C45" i="1"/>
  <c r="D45" i="1" s="1"/>
  <c r="C44" i="1"/>
  <c r="D44" i="1" s="1"/>
  <c r="C43" i="1"/>
  <c r="D43" i="1" s="1"/>
  <c r="C42" i="1"/>
  <c r="D42" i="1" s="1"/>
  <c r="D36" i="1"/>
  <c r="D35" i="1"/>
  <c r="D34" i="1"/>
  <c r="D33" i="1"/>
  <c r="D32" i="1"/>
  <c r="D31" i="1"/>
  <c r="B25" i="1"/>
  <c r="B26" i="1" s="1"/>
  <c r="B8" i="1"/>
  <c r="D37" i="1" l="1"/>
  <c r="D80" i="1" s="1"/>
  <c r="D76" i="1"/>
  <c r="D81" i="1" s="1"/>
  <c r="D82" i="1" l="1"/>
  <c r="D90" i="1" l="1"/>
  <c r="D92" i="1"/>
  <c r="D99" i="1" l="1"/>
  <c r="D96" i="1"/>
  <c r="D100" i="1" s="1"/>
  <c r="D95" i="1"/>
  <c r="D101" i="1" l="1"/>
  <c r="B104" i="1" s="1"/>
</calcChain>
</file>

<file path=xl/sharedStrings.xml><?xml version="1.0" encoding="utf-8"?>
<sst xmlns="http://schemas.openxmlformats.org/spreadsheetml/2006/main" count="201" uniqueCount="176">
  <si>
    <t>TEREPAY AFFORDABILITY CALCULATOR</t>
  </si>
  <si>
    <t>CCCFA Compliance Tool - v1.0</t>
  </si>
  <si>
    <t>SECTION A: CUSTOMER INFORMATION</t>
  </si>
  <si>
    <t>Customer Name:</t>
  </si>
  <si>
    <t>Loan Amount Requested:</t>
  </si>
  <si>
    <t>Loan Purpose:</t>
  </si>
  <si>
    <t>Assessment Date:</t>
  </si>
  <si>
    <t>Assessed By:</t>
  </si>
  <si>
    <t>Employment &amp; Visa Details</t>
  </si>
  <si>
    <t>Employment Status:</t>
  </si>
  <si>
    <t>Permanent/Fixed-term/Casual</t>
  </si>
  <si>
    <t>Employer:</t>
  </si>
  <si>
    <t>Time with Employer (months):</t>
  </si>
  <si>
    <t>Visa Status:</t>
  </si>
  <si>
    <t>NZ Citizen/Resident or Temporary</t>
  </si>
  <si>
    <t>Visa Type (if temporary):</t>
  </si>
  <si>
    <t>Visa Expiry Date:</t>
  </si>
  <si>
    <t>Valid 3+ months beyond loan?</t>
  </si>
  <si>
    <t>YES/NO</t>
  </si>
  <si>
    <t>Centrix Report Details</t>
  </si>
  <si>
    <t>Report Number:</t>
  </si>
  <si>
    <t>Report Date:</t>
  </si>
  <si>
    <t>First Transaction Date:</t>
  </si>
  <si>
    <t>Days of Data:</t>
  </si>
  <si>
    <t>90+ Days?</t>
  </si>
  <si>
    <t>⚠️ CRITICAL: If less than 90 days, DECLINE application</t>
  </si>
  <si>
    <t>SECTION B: INCOME VERIFICATION</t>
  </si>
  <si>
    <t>Income Source</t>
  </si>
  <si>
    <t>Centrix Amount ($/fn)</t>
  </si>
  <si>
    <t>Verified (Y/N)</t>
  </si>
  <si>
    <t>Adjusted Amount ($/fn)</t>
  </si>
  <si>
    <t>Salary/Wages</t>
  </si>
  <si>
    <t>Bonuses</t>
  </si>
  <si>
    <t>Rental Income</t>
  </si>
  <si>
    <t>Benefits/WINZ</t>
  </si>
  <si>
    <t>Partner Income</t>
  </si>
  <si>
    <t>Other Income</t>
  </si>
  <si>
    <t>TOTAL VERIFIED INCOME</t>
  </si>
  <si>
    <t>SECTION C: EXPENSE VERIFICATION &amp; ADJUSTMENTS</t>
  </si>
  <si>
    <t>Expense Category</t>
  </si>
  <si>
    <t>Centrix ($/fn)</t>
  </si>
  <si>
    <t>Benchmark ($/fn)</t>
  </si>
  <si>
    <t>Final Amount ($/fn)</t>
  </si>
  <si>
    <t>ESSENTIAL LIVING</t>
  </si>
  <si>
    <t>Food &amp; Groceries</t>
  </si>
  <si>
    <t>Utilities</t>
  </si>
  <si>
    <t>Personal/Clothing</t>
  </si>
  <si>
    <t>Medical</t>
  </si>
  <si>
    <t>Childcare</t>
  </si>
  <si>
    <t>FIXED FINANCIAL</t>
  </si>
  <si>
    <t>N/A</t>
  </si>
  <si>
    <t>Rates/Body Corporate</t>
  </si>
  <si>
    <t>Education Costs</t>
  </si>
  <si>
    <t>DEBT PAYMENTS</t>
  </si>
  <si>
    <t>Mortgage Payment</t>
  </si>
  <si>
    <t>Credit Cards (min payment)</t>
  </si>
  <si>
    <t>Other Debts</t>
  </si>
  <si>
    <t>ADDITIONAL EXPENSES (often missed)</t>
  </si>
  <si>
    <t>Overseas Remittances</t>
  </si>
  <si>
    <t>Manual Entry</t>
  </si>
  <si>
    <t>Tithing/Church Donations</t>
  </si>
  <si>
    <t>Car WOF (annual ÷ 26)</t>
  </si>
  <si>
    <t>Car Registration (annual ÷ 26)</t>
  </si>
  <si>
    <t>Other Regular Expenses</t>
  </si>
  <si>
    <t>DISCRETIONARY</t>
  </si>
  <si>
    <t>Dining Out</t>
  </si>
  <si>
    <t>Entertainment</t>
  </si>
  <si>
    <t>Subscriptions</t>
  </si>
  <si>
    <t>Other Discretionary</t>
  </si>
  <si>
    <t>TOTAL ADJUSTED EXPENSES</t>
  </si>
  <si>
    <t>SECTION D: AFFORDABILITY CALCULATION</t>
  </si>
  <si>
    <t>Step 1: Current Surplus</t>
  </si>
  <si>
    <t>Total Verified Income</t>
  </si>
  <si>
    <t>Minus: Total Adjusted Expenses</t>
  </si>
  <si>
    <t>CURRENT SURPLUS</t>
  </si>
  <si>
    <t>Step 2: Loan Payment Calculation</t>
  </si>
  <si>
    <t>Loan Amount Requested</t>
  </si>
  <si>
    <t>Total Repayment (Loan × 1.047)</t>
  </si>
  <si>
    <t>FORTNIGHTLY LOAN PAYMENT (÷ 4)</t>
  </si>
  <si>
    <t>Step 3: Surplus After Loan Payment</t>
  </si>
  <si>
    <t>Current Surplus</t>
  </si>
  <si>
    <t>Minus: Fortnightly Loan Payment</t>
  </si>
  <si>
    <t>SURPLUS AFTER LOAN PAYMENT</t>
  </si>
  <si>
    <t>Step 4: Apply 20% Safety Buffer (MANDATORY - Reg 4AF)</t>
  </si>
  <si>
    <t>Surplus After Loan Payment</t>
  </si>
  <si>
    <t>Safety Buffer Required (20%)</t>
  </si>
  <si>
    <t>Step 5: FINAL AVAILABLE SURPLUS</t>
  </si>
  <si>
    <t>Minus: Safety Buffer (20%)</t>
  </si>
  <si>
    <t>═══ FINAL AVAILABLE SURPLUS ═══</t>
  </si>
  <si>
    <t>SECTION E: DECISION &amp; RISK ASSESSMENT</t>
  </si>
  <si>
    <t>Affordability Result:</t>
  </si>
  <si>
    <t>MANDATORY DECLINE CHECKS (Any = DECLINE):</t>
  </si>
  <si>
    <t>Less than 90 days data?</t>
  </si>
  <si>
    <t>Y/N</t>
  </si>
  <si>
    <t>Visa expiring before loan ends?</t>
  </si>
  <si>
    <t>Cannot verify income?</t>
  </si>
  <si>
    <t>Recent defaults (90 days)?</t>
  </si>
  <si>
    <t>Loan for remittances/planned expenses?</t>
  </si>
  <si>
    <t>Multiple existing short-term loans?</t>
  </si>
  <si>
    <t>FINAL DECISION:</t>
  </si>
  <si>
    <t>APPROVE / DECLINE / ALTERNATIVE</t>
  </si>
  <si>
    <t>Alternative Amount (if applicable):</t>
  </si>
  <si>
    <t>Decision Rationale:</t>
  </si>
  <si>
    <t>Date:</t>
  </si>
  <si>
    <t>TEREPAY EXPENSE BENCHMARKS</t>
  </si>
  <si>
    <t>Auckland 2026 - Single Adult (Adjust for household size)</t>
  </si>
  <si>
    <t>Category</t>
  </si>
  <si>
    <t>Per Fortnight</t>
  </si>
  <si>
    <t>Notes</t>
  </si>
  <si>
    <t>Range: $240-320</t>
  </si>
  <si>
    <t>Range: $80-120 (power, water, internet)</t>
  </si>
  <si>
    <t>Range: $60-100</t>
  </si>
  <si>
    <t>Transport (Car)</t>
  </si>
  <si>
    <t>Range: $160-240 (fuel, WOF, rego, maintenance)</t>
  </si>
  <si>
    <t>Range: $40-80 (GP visits, prescriptions)</t>
  </si>
  <si>
    <t>Preschool: $400-800, School age: $100-200</t>
  </si>
  <si>
    <t>HOUSEHOLD SIZE MULTIPLIERS</t>
  </si>
  <si>
    <t>2 adults</t>
  </si>
  <si>
    <t>1.5x</t>
  </si>
  <si>
    <t>2 adults + 1 child</t>
  </si>
  <si>
    <t>1.8x</t>
  </si>
  <si>
    <t>2 adults + 2 children</t>
  </si>
  <si>
    <t>2.0x</t>
  </si>
  <si>
    <t>Each additional person</t>
  </si>
  <si>
    <t>+0.3x</t>
  </si>
  <si>
    <t>Quick Reference Guide</t>
  </si>
  <si>
    <t>HOW TO USE THIS CALCULATOR</t>
  </si>
  <si>
    <t>1. Complete customer information (Section A)</t>
  </si>
  <si>
    <t>2. Enter income from Centrix and verify (Section B)</t>
  </si>
  <si>
    <t>3. Enter expenses from Centrix (Section C)</t>
  </si>
  <si>
    <t xml:space="preserve">   - Benchmarks auto-populate - use higher of Centrix or benchmark</t>
  </si>
  <si>
    <t xml:space="preserve">   - Add any additional expenses not in Centrix</t>
  </si>
  <si>
    <t>4. Enter loan amount requested (Section D)</t>
  </si>
  <si>
    <t xml:space="preserve">   - All calculations are automatic</t>
  </si>
  <si>
    <t>5. Review Final Available Surplus</t>
  </si>
  <si>
    <t xml:space="preserve">   - Positive = potentially affordable</t>
  </si>
  <si>
    <t xml:space="preserve">   - Negative = not affordable, must decline</t>
  </si>
  <si>
    <t>6. Complete decline checks and make decision (Section E)</t>
  </si>
  <si>
    <t>LOAN PAYMENT QUICK REFERENCE</t>
  </si>
  <si>
    <t>Loan Amount</t>
  </si>
  <si>
    <t>Fortnightly Payment</t>
  </si>
  <si>
    <t>Total Repayment</t>
  </si>
  <si>
    <t>INSTANT DECLINE REASONS</t>
  </si>
  <si>
    <t>• Less than 90 days transaction data</t>
  </si>
  <si>
    <t>• Visa expiring before loan completion</t>
  </si>
  <si>
    <t>• Final Available Surplus ≤ $0</t>
  </si>
  <si>
    <t>• Cannot verify income</t>
  </si>
  <si>
    <t>• Recent payment defaults (90 days)</t>
  </si>
  <si>
    <t>• Loan purpose: overseas remittances</t>
  </si>
  <si>
    <t>• Loan purpose: planned expenses (visa, celebrations)</t>
  </si>
  <si>
    <t>AFFORDABILITY DECISION GUIDE</t>
  </si>
  <si>
    <t>Final Surplus</t>
  </si>
  <si>
    <t>Interpretation</t>
  </si>
  <si>
    <t>Action</t>
  </si>
  <si>
    <t>&gt; $100/fortnight</t>
  </si>
  <si>
    <t>✓ Likely Affordable</t>
  </si>
  <si>
    <t>Proceed - subject to other checks</t>
  </si>
  <si>
    <t>$50-$100/fortnight</t>
  </si>
  <si>
    <t>⚠ Marginal</t>
  </si>
  <si>
    <t>Careful consideration needed</t>
  </si>
  <si>
    <t>$0-$50/fortnight</t>
  </si>
  <si>
    <t>⚠ High Risk</t>
  </si>
  <si>
    <t>Likely substantial hardship</t>
  </si>
  <si>
    <t>&lt; $0 (negative)</t>
  </si>
  <si>
    <t>✗ Not Affordable</t>
  </si>
  <si>
    <t>MUST DECLINE</t>
  </si>
  <si>
    <t>Accommodation (Rent/Mortgage Payments)</t>
  </si>
  <si>
    <t>Home and Insurance</t>
  </si>
  <si>
    <t>BNPL repayments &amp; other debts</t>
  </si>
  <si>
    <t>VehiclePayment</t>
  </si>
  <si>
    <t>Personal Payment</t>
  </si>
  <si>
    <t>Childcare / dependants</t>
  </si>
  <si>
    <t>Medical (GP, prescriptions)</t>
  </si>
  <si>
    <t>Transport (fuel, WoF/rego, maintenance)</t>
  </si>
  <si>
    <t>Personal expenses (clothing, footwear)</t>
  </si>
  <si>
    <t>Utilities (power, water, internet)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</si>
</sst>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\$#,##0.00"/>
    <numFmt numFmtId="166" formatCode="\$#,##0"/>
  </numFmts>
  <fonts count="20" x14ac:knownFonts="1">
    <font>
      <sz val="11"/>
      <color theme="1"/>
      <name val="Calibri"/>
      <family val="2"/>
      <scheme val="minor"/>
    </font>
    <font>
      <b/>
      <sz val="16"/>
      <color rgb="FF1F4E78"/>
      <name val="Times New Roman"/>
    </font>
    <font>
      <i/>
      <sz val="10"/>
      <name val="Times New Roman"/>
    </font>
    <font>
      <b/>
      <sz val="12"/>
      <color rgb="FFFFFFFF"/>
      <name val="Times New Roman"/>
    </font>
    <font>
      <b/>
      <sz val="10"/>
      <name val="Times New Roman"/>
    </font>
    <font>
      <sz val="10"/>
      <name val="Times New Roman"/>
    </font>
    <font>
      <b/>
      <sz val="11"/>
      <name val="Times New Roman"/>
    </font>
    <font>
      <i/>
      <sz val="9"/>
      <color rgb="FF666666"/>
      <name val="Times New Roman"/>
    </font>
    <font>
      <b/>
      <sz val="10"/>
      <color rgb="FFFF0000"/>
      <name val="Times New Roman"/>
    </font>
    <font>
      <b/>
      <sz val="10"/>
      <color rgb="FF1F4E78"/>
      <name val="Times New Roman"/>
    </font>
    <font>
      <i/>
      <sz val="9"/>
      <name val="Times New Roman"/>
    </font>
    <font>
      <i/>
      <sz val="9"/>
      <color rgb="FF999999"/>
      <name val="Times New Roman"/>
    </font>
    <font>
      <b/>
      <sz val="10"/>
      <color rgb="FFFF6600"/>
      <name val="Times New Roman"/>
    </font>
    <font>
      <b/>
      <sz val="12"/>
      <color rgb="FF1F4E78"/>
      <name val="Times New Roman"/>
    </font>
    <font>
      <b/>
      <sz val="12"/>
      <name val="Times New Roman"/>
    </font>
    <font>
      <b/>
      <sz val="14"/>
      <name val="Times New Roman"/>
    </font>
    <font>
      <b/>
      <sz val="14"/>
      <color rgb="FF1F4E78"/>
      <name val="Times New Roman"/>
    </font>
    <font>
      <i/>
      <sz val="11"/>
      <name val="Times New Roman"/>
    </font>
    <font>
      <b/>
      <sz val="11"/>
      <color rgb="FFFF0000"/>
      <name val="Times New Roman"/>
    </font>
    <font>
      <sz val="1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4E6"/>
        <bgColor rgb="FFFFF4E6"/>
      </patternFill>
    </fill>
    <fill>
      <patternFill patternType="solid">
        <fgColor rgb="FFE7E6E6"/>
        <bgColor rgb="FFE7E6E6"/>
      </patternFill>
    </fill>
    <fill>
      <patternFill patternType="solid">
        <fgColor rgb="FFFFE6E6"/>
        <bgColor rgb="FFFFE6E6"/>
      </patternFill>
    </fill>
    <fill>
      <patternFill patternType="solid">
        <fgColor rgb="FFE6F4FF"/>
        <bgColor rgb="FFE6F4FF"/>
      </patternFill>
    </fill>
    <fill>
      <patternFill patternType="solid">
        <fgColor rgb="FFD4EDDA"/>
        <bgColor rgb="FFD4EDDA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4" fillId="0" borderId="0" xfId="0" applyFont="1"/>
    <xf numFmtId="0" fontId="5" fillId="3" borderId="1" xfId="0" applyFont="1" applyFill="1" applyBorder="1"/>
    <xf numFmtId="164" fontId="5" fillId="3" borderId="1" xfId="0" applyNumberFormat="1" applyFont="1" applyFill="1" applyBorder="1"/>
    <xf numFmtId="0" fontId="5" fillId="0" borderId="0" xfId="0" applyFont="1"/>
    <xf numFmtId="0" fontId="7" fillId="3" borderId="1" xfId="0" applyFont="1" applyFill="1" applyBorder="1"/>
    <xf numFmtId="0" fontId="0" fillId="3" borderId="1" xfId="0" applyFill="1" applyBorder="1"/>
    <xf numFmtId="164" fontId="0" fillId="3" borderId="1" xfId="0" applyNumberFormat="1" applyFill="1" applyBorder="1"/>
    <xf numFmtId="0" fontId="0" fillId="0" borderId="1" xfId="0" applyBorder="1"/>
    <xf numFmtId="0" fontId="4" fillId="0" borderId="1" xfId="0" applyFont="1" applyBorder="1"/>
    <xf numFmtId="0" fontId="4" fillId="4" borderId="1" xfId="0" applyFont="1" applyFill="1" applyBorder="1" applyAlignment="1">
      <alignment horizontal="center"/>
    </xf>
    <xf numFmtId="0" fontId="5" fillId="0" borderId="1" xfId="0" applyFont="1" applyBorder="1"/>
    <xf numFmtId="165" fontId="0" fillId="3" borderId="1" xfId="0" applyNumberFormat="1" applyFill="1" applyBorder="1"/>
    <xf numFmtId="0" fontId="0" fillId="3" borderId="1" xfId="0" applyFill="1" applyBorder="1" applyAlignment="1">
      <alignment horizontal="center"/>
    </xf>
    <xf numFmtId="165" fontId="0" fillId="6" borderId="1" xfId="0" applyNumberFormat="1" applyFill="1" applyBorder="1"/>
    <xf numFmtId="0" fontId="6" fillId="0" borderId="1" xfId="0" applyFont="1" applyBorder="1"/>
    <xf numFmtId="165" fontId="6" fillId="7" borderId="1" xfId="0" applyNumberFormat="1" applyFont="1" applyFill="1" applyBorder="1"/>
    <xf numFmtId="165" fontId="10" fillId="0" borderId="1" xfId="0" applyNumberFormat="1" applyFont="1" applyBorder="1"/>
    <xf numFmtId="0" fontId="11" fillId="0" borderId="1" xfId="0" applyFont="1" applyBorder="1" applyAlignment="1">
      <alignment horizontal="center"/>
    </xf>
    <xf numFmtId="165" fontId="0" fillId="0" borderId="1" xfId="0" applyNumberFormat="1" applyBorder="1"/>
    <xf numFmtId="0" fontId="6" fillId="0" borderId="0" xfId="0" applyFont="1"/>
    <xf numFmtId="165" fontId="6" fillId="6" borderId="1" xfId="0" applyNumberFormat="1" applyFont="1" applyFill="1" applyBorder="1"/>
    <xf numFmtId="165" fontId="4" fillId="3" borderId="1" xfId="0" applyNumberFormat="1" applyFont="1" applyFill="1" applyBorder="1"/>
    <xf numFmtId="165" fontId="15" fillId="7" borderId="2" xfId="0" applyNumberFormat="1" applyFont="1" applyFill="1" applyBorder="1"/>
    <xf numFmtId="0" fontId="7" fillId="3" borderId="1" xfId="0" applyFont="1" applyFill="1" applyBorder="1" applyAlignment="1">
      <alignment horizontal="center"/>
    </xf>
    <xf numFmtId="0" fontId="14" fillId="0" borderId="0" xfId="0" applyFont="1"/>
    <xf numFmtId="164" fontId="0" fillId="0" borderId="1" xfId="0" applyNumberFormat="1" applyBorder="1"/>
    <xf numFmtId="0" fontId="4" fillId="4" borderId="1" xfId="0" applyFont="1" applyFill="1" applyBorder="1"/>
    <xf numFmtId="165" fontId="5" fillId="0" borderId="1" xfId="0" applyNumberFormat="1" applyFont="1" applyBorder="1"/>
    <xf numFmtId="0" fontId="10" fillId="0" borderId="1" xfId="0" applyFont="1" applyBorder="1"/>
    <xf numFmtId="166" fontId="0" fillId="0" borderId="1" xfId="0" applyNumberFormat="1" applyBorder="1"/>
    <xf numFmtId="0" fontId="3" fillId="2" borderId="0" xfId="0" applyFont="1" applyFill="1"/>
    <xf numFmtId="0" fontId="0" fillId="0" borderId="0" xfId="0"/>
    <xf numFmtId="0" fontId="12" fillId="0" borderId="0" xfId="0" applyFont="1"/>
    <xf numFmtId="0" fontId="0" fillId="3" borderId="1" xfId="0" applyFill="1" applyBorder="1"/>
    <xf numFmtId="0" fontId="0" fillId="0" borderId="3" xfId="0" applyBorder="1"/>
    <xf numFmtId="0" fontId="0" fillId="0" borderId="4" xfId="0" applyBorder="1"/>
    <xf numFmtId="0" fontId="6" fillId="4" borderId="0" xfId="0" applyFont="1" applyFill="1"/>
    <xf numFmtId="0" fontId="6" fillId="0" borderId="0" xfId="0" applyFont="1"/>
    <xf numFmtId="0" fontId="13" fillId="4" borderId="0" xfId="0" applyFont="1" applyFill="1"/>
    <xf numFmtId="0" fontId="14" fillId="0" borderId="0" xfId="0" applyFont="1" applyAlignment="1">
      <alignment horizontal="center"/>
    </xf>
    <xf numFmtId="0" fontId="9" fillId="0" borderId="0" xfId="0" applyFont="1"/>
    <xf numFmtId="0" fontId="1" fillId="0" borderId="0" xfId="0" applyFont="1" applyAlignment="1">
      <alignment horizontal="center"/>
    </xf>
    <xf numFmtId="0" fontId="6" fillId="3" borderId="1" xfId="0" applyFont="1" applyFill="1" applyBorder="1"/>
    <xf numFmtId="0" fontId="8" fillId="5" borderId="0" xfId="0" applyFont="1" applyFill="1"/>
    <xf numFmtId="0" fontId="8" fillId="0" borderId="0" xfId="0" applyFont="1"/>
    <xf numFmtId="0" fontId="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8" fillId="5" borderId="0" xfId="0" applyFont="1" applyFill="1"/>
    <xf numFmtId="0" fontId="5" fillId="0" borderId="0" xfId="0" applyFont="1"/>
    <xf numFmtId="0" fontId="17" fillId="0" borderId="0" xfId="0" applyFont="1" applyAlignment="1">
      <alignment horizontal="center"/>
    </xf>
    <xf numFmtId="0" fontId="19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3"/>
  <sheetViews>
    <sheetView tabSelected="1" topLeftCell="A74" workbookViewId="0">
      <selection activeCell="A43" sqref="A43"/>
    </sheetView>
  </sheetViews>
  <sheetFormatPr baseColWidth="10" defaultColWidth="8.83203125" defaultRowHeight="15" x14ac:dyDescent="0.2"/>
  <cols>
    <col min="1" max="1" width="35" customWidth="1"/>
    <col min="2" max="2" width="25.1640625" customWidth="1"/>
    <col min="3" max="3" width="15" customWidth="1"/>
    <col min="4" max="4" width="30" customWidth="1"/>
  </cols>
  <sheetData>
    <row r="1" spans="1:4" ht="20" x14ac:dyDescent="0.2">
      <c r="A1" s="42" t="s">
        <v>0</v>
      </c>
      <c r="B1" s="32"/>
      <c r="C1" s="32"/>
      <c r="D1" s="32"/>
    </row>
    <row r="2" spans="1:4" x14ac:dyDescent="0.2">
      <c r="A2" s="46" t="s">
        <v>1</v>
      </c>
      <c r="B2" s="32"/>
      <c r="C2" s="32"/>
      <c r="D2" s="32"/>
    </row>
    <row r="4" spans="1:4" ht="16" x14ac:dyDescent="0.2">
      <c r="A4" s="31" t="s">
        <v>2</v>
      </c>
      <c r="B4" s="32"/>
      <c r="C4" s="32"/>
      <c r="D4" s="32"/>
    </row>
    <row r="5" spans="1:4" x14ac:dyDescent="0.2">
      <c r="A5" s="1" t="s">
        <v>3</v>
      </c>
      <c r="B5" s="2"/>
    </row>
    <row r="6" spans="1:4" x14ac:dyDescent="0.2">
      <c r="A6" s="1" t="s">
        <v>4</v>
      </c>
      <c r="B6" s="2"/>
    </row>
    <row r="7" spans="1:4" x14ac:dyDescent="0.2">
      <c r="A7" s="1" t="s">
        <v>5</v>
      </c>
      <c r="B7" s="2"/>
    </row>
    <row r="8" spans="1:4" x14ac:dyDescent="0.2">
      <c r="A8" s="1" t="s">
        <v>6</v>
      </c>
      <c r="B8" s="3">
        <f ca="1">TODAY()</f>
        <v>46055</v>
      </c>
    </row>
    <row r="9" spans="1:4" x14ac:dyDescent="0.2">
      <c r="A9" s="1" t="s">
        <v>7</v>
      </c>
      <c r="B9" s="2"/>
    </row>
    <row r="11" spans="1:4" x14ac:dyDescent="0.2">
      <c r="A11" s="37" t="s">
        <v>8</v>
      </c>
      <c r="B11" s="32"/>
      <c r="C11" s="32"/>
      <c r="D11" s="32"/>
    </row>
    <row r="12" spans="1:4" x14ac:dyDescent="0.2">
      <c r="A12" s="4" t="s">
        <v>9</v>
      </c>
      <c r="B12" s="5" t="s">
        <v>10</v>
      </c>
    </row>
    <row r="13" spans="1:4" x14ac:dyDescent="0.2">
      <c r="A13" s="4" t="s">
        <v>11</v>
      </c>
      <c r="B13" s="6"/>
    </row>
    <row r="14" spans="1:4" x14ac:dyDescent="0.2">
      <c r="A14" s="4" t="s">
        <v>12</v>
      </c>
      <c r="B14" s="6"/>
    </row>
    <row r="16" spans="1:4" x14ac:dyDescent="0.2">
      <c r="A16" s="4" t="s">
        <v>13</v>
      </c>
      <c r="B16" s="5" t="s">
        <v>14</v>
      </c>
    </row>
    <row r="17" spans="1:4" x14ac:dyDescent="0.2">
      <c r="A17" s="4" t="s">
        <v>15</v>
      </c>
      <c r="B17" s="6"/>
    </row>
    <row r="18" spans="1:4" x14ac:dyDescent="0.2">
      <c r="A18" s="4" t="s">
        <v>16</v>
      </c>
      <c r="B18" s="6"/>
    </row>
    <row r="19" spans="1:4" x14ac:dyDescent="0.2">
      <c r="A19" s="4" t="s">
        <v>17</v>
      </c>
      <c r="B19" s="5" t="s">
        <v>18</v>
      </c>
    </row>
    <row r="21" spans="1:4" x14ac:dyDescent="0.2">
      <c r="A21" s="37" t="s">
        <v>19</v>
      </c>
      <c r="B21" s="32"/>
      <c r="C21" s="32"/>
      <c r="D21" s="32"/>
    </row>
    <row r="22" spans="1:4" x14ac:dyDescent="0.2">
      <c r="A22" s="4" t="s">
        <v>20</v>
      </c>
      <c r="B22" s="6"/>
    </row>
    <row r="23" spans="1:4" x14ac:dyDescent="0.2">
      <c r="A23" s="4" t="s">
        <v>21</v>
      </c>
      <c r="B23" s="7"/>
    </row>
    <row r="24" spans="1:4" x14ac:dyDescent="0.2">
      <c r="A24" s="4" t="s">
        <v>22</v>
      </c>
      <c r="B24" s="7"/>
    </row>
    <row r="25" spans="1:4" x14ac:dyDescent="0.2">
      <c r="A25" s="4" t="s">
        <v>23</v>
      </c>
      <c r="B25" s="8">
        <f>B23-B24</f>
        <v>0</v>
      </c>
    </row>
    <row r="26" spans="1:4" x14ac:dyDescent="0.2">
      <c r="A26" s="4" t="s">
        <v>24</v>
      </c>
      <c r="B26" s="9" t="str">
        <f>IF(B25&gt;=90,"✓ PASS","✗ FAIL - DECLINE")</f>
        <v>✗ FAIL - DECLINE</v>
      </c>
    </row>
    <row r="27" spans="1:4" x14ac:dyDescent="0.2">
      <c r="A27" s="44" t="s">
        <v>25</v>
      </c>
      <c r="B27" s="32"/>
      <c r="C27" s="32"/>
      <c r="D27" s="32"/>
    </row>
    <row r="29" spans="1:4" ht="16" x14ac:dyDescent="0.2">
      <c r="A29" s="31" t="s">
        <v>26</v>
      </c>
      <c r="B29" s="32"/>
      <c r="C29" s="32"/>
      <c r="D29" s="32"/>
    </row>
    <row r="30" spans="1:4" x14ac:dyDescent="0.2">
      <c r="A30" s="10" t="s">
        <v>27</v>
      </c>
      <c r="B30" s="10" t="s">
        <v>28</v>
      </c>
      <c r="C30" s="10" t="s">
        <v>29</v>
      </c>
      <c r="D30" s="10" t="s">
        <v>30</v>
      </c>
    </row>
    <row r="31" spans="1:4" x14ac:dyDescent="0.2">
      <c r="A31" s="11" t="s">
        <v>31</v>
      </c>
      <c r="B31" s="12"/>
      <c r="C31" s="13"/>
      <c r="D31" s="14" t="str">
        <f t="shared" ref="D31:D36" si="0">IF(B31="","",B31)</f>
        <v/>
      </c>
    </row>
    <row r="32" spans="1:4" x14ac:dyDescent="0.2">
      <c r="A32" s="11" t="s">
        <v>32</v>
      </c>
      <c r="B32" s="12"/>
      <c r="C32" s="13"/>
      <c r="D32" s="14" t="str">
        <f t="shared" si="0"/>
        <v/>
      </c>
    </row>
    <row r="33" spans="1:4" x14ac:dyDescent="0.2">
      <c r="A33" s="11" t="s">
        <v>33</v>
      </c>
      <c r="B33" s="12"/>
      <c r="C33" s="13"/>
      <c r="D33" s="14" t="str">
        <f t="shared" si="0"/>
        <v/>
      </c>
    </row>
    <row r="34" spans="1:4" x14ac:dyDescent="0.2">
      <c r="A34" s="11" t="s">
        <v>34</v>
      </c>
      <c r="B34" s="12"/>
      <c r="C34" s="13"/>
      <c r="D34" s="14" t="str">
        <f t="shared" si="0"/>
        <v/>
      </c>
    </row>
    <row r="35" spans="1:4" x14ac:dyDescent="0.2">
      <c r="A35" s="11" t="s">
        <v>35</v>
      </c>
      <c r="B35" s="12"/>
      <c r="C35" s="13"/>
      <c r="D35" s="14" t="str">
        <f t="shared" si="0"/>
        <v/>
      </c>
    </row>
    <row r="36" spans="1:4" x14ac:dyDescent="0.2">
      <c r="A36" s="11" t="s">
        <v>36</v>
      </c>
      <c r="B36" s="12"/>
      <c r="C36" s="13"/>
      <c r="D36" s="14" t="str">
        <f t="shared" si="0"/>
        <v/>
      </c>
    </row>
    <row r="37" spans="1:4" x14ac:dyDescent="0.2">
      <c r="A37" s="15" t="s">
        <v>37</v>
      </c>
      <c r="D37" s="16">
        <f>SUM(D31:D36)</f>
        <v>0</v>
      </c>
    </row>
    <row r="39" spans="1:4" ht="16" x14ac:dyDescent="0.2">
      <c r="A39" s="31" t="s">
        <v>38</v>
      </c>
      <c r="B39" s="32"/>
      <c r="C39" s="32"/>
      <c r="D39" s="32"/>
    </row>
    <row r="40" spans="1:4" x14ac:dyDescent="0.2">
      <c r="A40" s="10" t="s">
        <v>39</v>
      </c>
      <c r="B40" s="10" t="s">
        <v>40</v>
      </c>
      <c r="C40" s="10" t="s">
        <v>41</v>
      </c>
      <c r="D40" s="10" t="s">
        <v>42</v>
      </c>
    </row>
    <row r="41" spans="1:4" x14ac:dyDescent="0.2">
      <c r="A41" s="41" t="s">
        <v>43</v>
      </c>
      <c r="B41" s="32"/>
      <c r="C41" s="32"/>
      <c r="D41" s="32"/>
    </row>
    <row r="42" spans="1:4" x14ac:dyDescent="0.2">
      <c r="A42" s="11" t="s">
        <v>44</v>
      </c>
      <c r="B42" s="12"/>
      <c r="C42" s="17" t="str">
        <f>Benchmarks!B4</f>
        <v>Per Fortnight</v>
      </c>
      <c r="D42" s="14" t="str">
        <f t="shared" ref="D42:D47" si="1">IF(B42="",C42,MAX(B42,C42))</f>
        <v>Per Fortnight</v>
      </c>
    </row>
    <row r="43" spans="1:4" x14ac:dyDescent="0.2">
      <c r="A43" s="51" t="s">
        <v>175</v>
      </c>
      <c r="B43" s="12"/>
      <c r="C43" s="17">
        <f>Benchmarks!B5</f>
        <v>280</v>
      </c>
      <c r="D43" s="14">
        <f t="shared" si="1"/>
        <v>280</v>
      </c>
    </row>
    <row r="44" spans="1:4" x14ac:dyDescent="0.2">
      <c r="A44" s="51" t="s">
        <v>174</v>
      </c>
      <c r="B44" s="12"/>
      <c r="C44" s="17">
        <f>Benchmarks!B6</f>
        <v>100</v>
      </c>
      <c r="D44" s="14">
        <f t="shared" si="1"/>
        <v>100</v>
      </c>
    </row>
    <row r="45" spans="1:4" x14ac:dyDescent="0.2">
      <c r="A45" s="51" t="s">
        <v>173</v>
      </c>
      <c r="B45" s="12"/>
      <c r="C45" s="17">
        <f>Benchmarks!B7</f>
        <v>80</v>
      </c>
      <c r="D45" s="14">
        <f t="shared" si="1"/>
        <v>80</v>
      </c>
    </row>
    <row r="46" spans="1:4" x14ac:dyDescent="0.2">
      <c r="A46" s="51" t="s">
        <v>172</v>
      </c>
      <c r="B46" s="12"/>
      <c r="C46" s="17">
        <f>Benchmarks!B8</f>
        <v>200</v>
      </c>
      <c r="D46" s="14">
        <f t="shared" si="1"/>
        <v>200</v>
      </c>
    </row>
    <row r="47" spans="1:4" x14ac:dyDescent="0.2">
      <c r="A47" s="51" t="s">
        <v>171</v>
      </c>
      <c r="B47" s="12"/>
      <c r="C47" s="17">
        <f>Benchmarks!B9</f>
        <v>60</v>
      </c>
      <c r="D47" s="14">
        <f t="shared" si="1"/>
        <v>60</v>
      </c>
    </row>
    <row r="49" spans="1:4" x14ac:dyDescent="0.2">
      <c r="A49" s="41" t="s">
        <v>49</v>
      </c>
      <c r="B49" s="32"/>
      <c r="C49" s="32"/>
      <c r="D49" s="32"/>
    </row>
    <row r="50" spans="1:4" x14ac:dyDescent="0.2">
      <c r="A50" s="51" t="s">
        <v>166</v>
      </c>
      <c r="B50" s="12"/>
      <c r="C50" s="18" t="s">
        <v>50</v>
      </c>
      <c r="D50" s="14">
        <f>IF(B50="",0,B50)</f>
        <v>0</v>
      </c>
    </row>
    <row r="51" spans="1:4" x14ac:dyDescent="0.2">
      <c r="A51" s="51" t="s">
        <v>167</v>
      </c>
      <c r="B51" s="12"/>
      <c r="C51" s="18" t="s">
        <v>50</v>
      </c>
      <c r="D51" s="14">
        <f>IF(B51="",0,B51)</f>
        <v>0</v>
      </c>
    </row>
    <row r="52" spans="1:4" x14ac:dyDescent="0.2">
      <c r="A52" s="11" t="s">
        <v>51</v>
      </c>
      <c r="B52" s="12"/>
      <c r="C52" s="18" t="s">
        <v>50</v>
      </c>
      <c r="D52" s="14">
        <f>IF(B52="",0,B52)</f>
        <v>0</v>
      </c>
    </row>
    <row r="53" spans="1:4" x14ac:dyDescent="0.2">
      <c r="A53" s="11" t="s">
        <v>52</v>
      </c>
      <c r="B53" s="12"/>
      <c r="C53" s="18" t="s">
        <v>50</v>
      </c>
      <c r="D53" s="14">
        <f>IF(B53="",0,B53)</f>
        <v>0</v>
      </c>
    </row>
    <row r="55" spans="1:4" x14ac:dyDescent="0.2">
      <c r="A55" s="41" t="s">
        <v>53</v>
      </c>
      <c r="B55" s="32"/>
      <c r="C55" s="32"/>
      <c r="D55" s="32"/>
    </row>
    <row r="56" spans="1:4" x14ac:dyDescent="0.2">
      <c r="A56" s="51" t="s">
        <v>54</v>
      </c>
      <c r="B56" s="12"/>
      <c r="C56" s="18" t="s">
        <v>50</v>
      </c>
      <c r="D56" s="14">
        <f>IF(B56="",0,B56)</f>
        <v>0</v>
      </c>
    </row>
    <row r="57" spans="1:4" x14ac:dyDescent="0.2">
      <c r="A57" s="51" t="s">
        <v>169</v>
      </c>
      <c r="B57" s="12"/>
      <c r="C57" s="18" t="s">
        <v>50</v>
      </c>
      <c r="D57" s="14">
        <f>IF(B57="",0,B57)</f>
        <v>0</v>
      </c>
    </row>
    <row r="58" spans="1:4" x14ac:dyDescent="0.2">
      <c r="A58" s="51" t="s">
        <v>170</v>
      </c>
      <c r="B58" s="12"/>
      <c r="C58" s="18" t="s">
        <v>50</v>
      </c>
      <c r="D58" s="14">
        <f>IF(B58="",0,B58)</f>
        <v>0</v>
      </c>
    </row>
    <row r="59" spans="1:4" x14ac:dyDescent="0.2">
      <c r="A59" s="11" t="s">
        <v>55</v>
      </c>
      <c r="B59" s="12"/>
      <c r="C59" s="18" t="s">
        <v>50</v>
      </c>
      <c r="D59" s="14">
        <f>IF(B59="",0,B59)</f>
        <v>0</v>
      </c>
    </row>
    <row r="60" spans="1:4" x14ac:dyDescent="0.2">
      <c r="A60" s="51" t="s">
        <v>168</v>
      </c>
      <c r="B60" s="12"/>
      <c r="C60" s="18"/>
      <c r="D60" s="14"/>
    </row>
    <row r="61" spans="1:4" x14ac:dyDescent="0.2">
      <c r="A61" s="11" t="s">
        <v>56</v>
      </c>
      <c r="B61" s="12"/>
      <c r="C61" s="18" t="s">
        <v>50</v>
      </c>
      <c r="D61" s="14">
        <f>IF(B61="",0,B61)</f>
        <v>0</v>
      </c>
    </row>
    <row r="63" spans="1:4" x14ac:dyDescent="0.2">
      <c r="A63" s="33" t="s">
        <v>57</v>
      </c>
      <c r="B63" s="32"/>
      <c r="C63" s="32"/>
      <c r="D63" s="32"/>
    </row>
    <row r="64" spans="1:4" x14ac:dyDescent="0.2">
      <c r="A64" s="11" t="s">
        <v>58</v>
      </c>
      <c r="B64" s="12"/>
      <c r="C64" s="18" t="s">
        <v>59</v>
      </c>
      <c r="D64" s="14">
        <f>IF(B64="",0,B64)</f>
        <v>0</v>
      </c>
    </row>
    <row r="65" spans="1:4" x14ac:dyDescent="0.2">
      <c r="A65" s="11" t="s">
        <v>60</v>
      </c>
      <c r="B65" s="12"/>
      <c r="C65" s="18" t="s">
        <v>59</v>
      </c>
      <c r="D65" s="14">
        <f>IF(B65="",0,B65)</f>
        <v>0</v>
      </c>
    </row>
    <row r="66" spans="1:4" x14ac:dyDescent="0.2">
      <c r="A66" s="11" t="s">
        <v>61</v>
      </c>
      <c r="B66" s="12"/>
      <c r="C66" s="18" t="s">
        <v>59</v>
      </c>
      <c r="D66" s="14">
        <f>IF(B66="",0,B66)</f>
        <v>0</v>
      </c>
    </row>
    <row r="67" spans="1:4" x14ac:dyDescent="0.2">
      <c r="A67" s="11" t="s">
        <v>62</v>
      </c>
      <c r="B67" s="12"/>
      <c r="C67" s="18" t="s">
        <v>59</v>
      </c>
      <c r="D67" s="14">
        <f>IF(B67="",0,B67)</f>
        <v>0</v>
      </c>
    </row>
    <row r="68" spans="1:4" x14ac:dyDescent="0.2">
      <c r="A68" s="11" t="s">
        <v>63</v>
      </c>
      <c r="B68" s="12"/>
      <c r="C68" s="18" t="s">
        <v>59</v>
      </c>
      <c r="D68" s="14">
        <f>IF(B68="",0,B68)</f>
        <v>0</v>
      </c>
    </row>
    <row r="70" spans="1:4" x14ac:dyDescent="0.2">
      <c r="A70" s="41" t="s">
        <v>64</v>
      </c>
      <c r="B70" s="32"/>
      <c r="C70" s="32"/>
      <c r="D70" s="32"/>
    </row>
    <row r="71" spans="1:4" x14ac:dyDescent="0.2">
      <c r="A71" s="11" t="s">
        <v>65</v>
      </c>
      <c r="B71" s="12"/>
      <c r="C71" s="18" t="s">
        <v>50</v>
      </c>
      <c r="D71" s="14">
        <f>IF(B71="",0,B71)</f>
        <v>0</v>
      </c>
    </row>
    <row r="72" spans="1:4" x14ac:dyDescent="0.2">
      <c r="A72" s="11" t="s">
        <v>66</v>
      </c>
      <c r="B72" s="12"/>
      <c r="C72" s="18" t="s">
        <v>50</v>
      </c>
      <c r="D72" s="14">
        <f>IF(B72="",0,B72)</f>
        <v>0</v>
      </c>
    </row>
    <row r="73" spans="1:4" x14ac:dyDescent="0.2">
      <c r="A73" s="11" t="s">
        <v>67</v>
      </c>
      <c r="B73" s="12"/>
      <c r="C73" s="18" t="s">
        <v>50</v>
      </c>
      <c r="D73" s="14">
        <f>IF(B73="",0,B73)</f>
        <v>0</v>
      </c>
    </row>
    <row r="74" spans="1:4" x14ac:dyDescent="0.2">
      <c r="A74" s="11" t="s">
        <v>68</v>
      </c>
      <c r="B74" s="12"/>
      <c r="C74" s="18" t="s">
        <v>50</v>
      </c>
      <c r="D74" s="14">
        <f>IF(B74="",0,B74)</f>
        <v>0</v>
      </c>
    </row>
    <row r="76" spans="1:4" x14ac:dyDescent="0.2">
      <c r="A76" s="15" t="s">
        <v>69</v>
      </c>
      <c r="D76" s="16">
        <f>SUM(D42:D74)</f>
        <v>720</v>
      </c>
    </row>
    <row r="78" spans="1:4" ht="16" x14ac:dyDescent="0.2">
      <c r="A78" s="31" t="s">
        <v>70</v>
      </c>
      <c r="B78" s="32"/>
      <c r="C78" s="32"/>
      <c r="D78" s="32"/>
    </row>
    <row r="79" spans="1:4" x14ac:dyDescent="0.2">
      <c r="A79" s="37" t="s">
        <v>71</v>
      </c>
      <c r="B79" s="32"/>
      <c r="C79" s="32"/>
      <c r="D79" s="32"/>
    </row>
    <row r="80" spans="1:4" x14ac:dyDescent="0.2">
      <c r="A80" t="s">
        <v>72</v>
      </c>
      <c r="D80" s="19">
        <f>D37</f>
        <v>0</v>
      </c>
    </row>
    <row r="81" spans="1:4" x14ac:dyDescent="0.2">
      <c r="A81" t="s">
        <v>73</v>
      </c>
      <c r="D81" s="19">
        <f>D76</f>
        <v>720</v>
      </c>
    </row>
    <row r="82" spans="1:4" x14ac:dyDescent="0.2">
      <c r="A82" s="20" t="s">
        <v>74</v>
      </c>
      <c r="D82" s="21">
        <f>D37-D76</f>
        <v>-720</v>
      </c>
    </row>
    <row r="84" spans="1:4" x14ac:dyDescent="0.2">
      <c r="A84" s="37" t="s">
        <v>75</v>
      </c>
      <c r="B84" s="32"/>
      <c r="C84" s="32"/>
      <c r="D84" s="32"/>
    </row>
    <row r="85" spans="1:4" x14ac:dyDescent="0.2">
      <c r="A85" t="s">
        <v>76</v>
      </c>
      <c r="B85" s="12"/>
    </row>
    <row r="86" spans="1:4" x14ac:dyDescent="0.2">
      <c r="A86" t="s">
        <v>77</v>
      </c>
      <c r="D86" s="19">
        <f>B85*1.047</f>
        <v>0</v>
      </c>
    </row>
    <row r="87" spans="1:4" x14ac:dyDescent="0.2">
      <c r="A87" s="20" t="s">
        <v>78</v>
      </c>
      <c r="D87" s="21">
        <f>(B85*1.047)/4</f>
        <v>0</v>
      </c>
    </row>
    <row r="89" spans="1:4" x14ac:dyDescent="0.2">
      <c r="A89" s="37" t="s">
        <v>79</v>
      </c>
      <c r="B89" s="32"/>
      <c r="C89" s="32"/>
      <c r="D89" s="32"/>
    </row>
    <row r="90" spans="1:4" x14ac:dyDescent="0.2">
      <c r="A90" t="s">
        <v>80</v>
      </c>
      <c r="D90" s="19">
        <f>D82</f>
        <v>-720</v>
      </c>
    </row>
    <row r="91" spans="1:4" x14ac:dyDescent="0.2">
      <c r="A91" t="s">
        <v>81</v>
      </c>
      <c r="D91" s="19">
        <f>D87</f>
        <v>0</v>
      </c>
    </row>
    <row r="92" spans="1:4" x14ac:dyDescent="0.2">
      <c r="A92" s="20" t="s">
        <v>82</v>
      </c>
      <c r="D92" s="21">
        <f>D82-D87</f>
        <v>-720</v>
      </c>
    </row>
    <row r="94" spans="1:4" x14ac:dyDescent="0.2">
      <c r="A94" s="37" t="s">
        <v>83</v>
      </c>
      <c r="B94" s="32"/>
      <c r="C94" s="32"/>
      <c r="D94" s="32"/>
    </row>
    <row r="95" spans="1:4" x14ac:dyDescent="0.2">
      <c r="A95" t="s">
        <v>84</v>
      </c>
      <c r="D95" s="19">
        <f>D92</f>
        <v>-720</v>
      </c>
    </row>
    <row r="96" spans="1:4" x14ac:dyDescent="0.2">
      <c r="A96" t="s">
        <v>85</v>
      </c>
      <c r="D96" s="22">
        <f>D92*0.2</f>
        <v>-144</v>
      </c>
    </row>
    <row r="98" spans="1:4" ht="16" x14ac:dyDescent="0.2">
      <c r="A98" s="39" t="s">
        <v>86</v>
      </c>
      <c r="B98" s="32"/>
      <c r="C98" s="32"/>
    </row>
    <row r="99" spans="1:4" x14ac:dyDescent="0.2">
      <c r="A99" t="s">
        <v>84</v>
      </c>
      <c r="D99" s="19">
        <f>D92</f>
        <v>-720</v>
      </c>
    </row>
    <row r="100" spans="1:4" x14ac:dyDescent="0.2">
      <c r="A100" t="s">
        <v>87</v>
      </c>
      <c r="D100" s="19">
        <f>D96</f>
        <v>-144</v>
      </c>
    </row>
    <row r="101" spans="1:4" ht="18" x14ac:dyDescent="0.2">
      <c r="A101" s="40" t="s">
        <v>88</v>
      </c>
      <c r="B101" s="32"/>
      <c r="C101" s="32"/>
      <c r="D101" s="23">
        <f>D92-D96</f>
        <v>-576</v>
      </c>
    </row>
    <row r="103" spans="1:4" ht="16" x14ac:dyDescent="0.2">
      <c r="A103" s="31" t="s">
        <v>89</v>
      </c>
      <c r="B103" s="32"/>
      <c r="C103" s="32"/>
      <c r="D103" s="32"/>
    </row>
    <row r="104" spans="1:4" x14ac:dyDescent="0.2">
      <c r="A104" s="1" t="s">
        <v>90</v>
      </c>
      <c r="B104" s="38" t="str">
        <f>IF(D101&lt;0,"✗ NOT AFFORDABLE - DECLINE",IF(D101&lt;50,"⚠ HIGH RISK",IF(D101&lt;100,"⚠ MARGINAL - Careful Review","✓ LIKELY AFFORDABLE")))</f>
        <v>✗ NOT AFFORDABLE - DECLINE</v>
      </c>
      <c r="C104" s="32"/>
      <c r="D104" s="32"/>
    </row>
    <row r="106" spans="1:4" x14ac:dyDescent="0.2">
      <c r="A106" s="45" t="s">
        <v>91</v>
      </c>
      <c r="B106" s="32"/>
      <c r="C106" s="32"/>
      <c r="D106" s="32"/>
    </row>
    <row r="107" spans="1:4" x14ac:dyDescent="0.2">
      <c r="A107" s="4" t="s">
        <v>92</v>
      </c>
      <c r="B107" s="24" t="s">
        <v>93</v>
      </c>
    </row>
    <row r="108" spans="1:4" x14ac:dyDescent="0.2">
      <c r="A108" s="4" t="s">
        <v>94</v>
      </c>
      <c r="B108" s="24" t="s">
        <v>93</v>
      </c>
    </row>
    <row r="109" spans="1:4" x14ac:dyDescent="0.2">
      <c r="A109" s="4" t="s">
        <v>95</v>
      </c>
      <c r="B109" s="24" t="s">
        <v>93</v>
      </c>
    </row>
    <row r="110" spans="1:4" x14ac:dyDescent="0.2">
      <c r="A110" s="4" t="s">
        <v>96</v>
      </c>
      <c r="B110" s="24" t="s">
        <v>93</v>
      </c>
    </row>
    <row r="111" spans="1:4" x14ac:dyDescent="0.2">
      <c r="A111" s="4" t="s">
        <v>97</v>
      </c>
      <c r="B111" s="24" t="s">
        <v>93</v>
      </c>
    </row>
    <row r="112" spans="1:4" x14ac:dyDescent="0.2">
      <c r="A112" s="4" t="s">
        <v>98</v>
      </c>
      <c r="B112" s="24" t="s">
        <v>93</v>
      </c>
    </row>
    <row r="114" spans="1:4" ht="16" x14ac:dyDescent="0.2">
      <c r="A114" s="25" t="s">
        <v>99</v>
      </c>
      <c r="B114" s="43" t="s">
        <v>100</v>
      </c>
      <c r="C114" s="35"/>
      <c r="D114" s="36"/>
    </row>
    <row r="115" spans="1:4" x14ac:dyDescent="0.2">
      <c r="A115" t="s">
        <v>101</v>
      </c>
      <c r="B115" s="12"/>
    </row>
    <row r="117" spans="1:4" x14ac:dyDescent="0.2">
      <c r="A117" s="1" t="s">
        <v>102</v>
      </c>
    </row>
    <row r="118" spans="1:4" x14ac:dyDescent="0.2">
      <c r="A118" s="34"/>
      <c r="B118" s="35"/>
      <c r="C118" s="35"/>
      <c r="D118" s="36"/>
    </row>
    <row r="119" spans="1:4" x14ac:dyDescent="0.2">
      <c r="A119" s="34"/>
      <c r="B119" s="35"/>
      <c r="C119" s="35"/>
      <c r="D119" s="36"/>
    </row>
    <row r="120" spans="1:4" x14ac:dyDescent="0.2">
      <c r="A120" s="34"/>
      <c r="B120" s="35"/>
      <c r="C120" s="35"/>
      <c r="D120" s="36"/>
    </row>
    <row r="122" spans="1:4" x14ac:dyDescent="0.2">
      <c r="A122" t="s">
        <v>7</v>
      </c>
      <c r="B122" s="6"/>
    </row>
    <row r="123" spans="1:4" x14ac:dyDescent="0.2">
      <c r="A123" t="s">
        <v>103</v>
      </c>
      <c r="B123" s="26">
        <f ca="1">TODAY()</f>
        <v>46055</v>
      </c>
    </row>
  </sheetData>
  <mergeCells count="27">
    <mergeCell ref="A1:D1"/>
    <mergeCell ref="A120:D120"/>
    <mergeCell ref="A89:D89"/>
    <mergeCell ref="A70:D70"/>
    <mergeCell ref="A79:D79"/>
    <mergeCell ref="A41:D41"/>
    <mergeCell ref="B114:D114"/>
    <mergeCell ref="A119:D119"/>
    <mergeCell ref="A27:D27"/>
    <mergeCell ref="A106:D106"/>
    <mergeCell ref="A21:D21"/>
    <mergeCell ref="A55:D55"/>
    <mergeCell ref="A2:D2"/>
    <mergeCell ref="A4:D4"/>
    <mergeCell ref="A63:D63"/>
    <mergeCell ref="A29:D29"/>
    <mergeCell ref="A118:D118"/>
    <mergeCell ref="A94:D94"/>
    <mergeCell ref="B104:D104"/>
    <mergeCell ref="A103:D103"/>
    <mergeCell ref="A78:D78"/>
    <mergeCell ref="A84:D84"/>
    <mergeCell ref="A39:D39"/>
    <mergeCell ref="A98:C98"/>
    <mergeCell ref="A101:C101"/>
    <mergeCell ref="A11:D11"/>
    <mergeCell ref="A49:D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topLeftCell="A13" workbookViewId="0">
      <selection sqref="A1:D1"/>
    </sheetView>
  </sheetViews>
  <sheetFormatPr baseColWidth="10" defaultColWidth="8.83203125" defaultRowHeight="15" x14ac:dyDescent="0.2"/>
  <cols>
    <col min="1" max="1" width="30" customWidth="1"/>
    <col min="2" max="2" width="18" customWidth="1"/>
    <col min="3" max="3" width="35" customWidth="1"/>
  </cols>
  <sheetData>
    <row r="1" spans="1:4" ht="18" x14ac:dyDescent="0.2">
      <c r="A1" s="47" t="s">
        <v>104</v>
      </c>
      <c r="B1" s="32"/>
      <c r="C1" s="32"/>
      <c r="D1" s="32"/>
    </row>
    <row r="2" spans="1:4" x14ac:dyDescent="0.2">
      <c r="A2" s="46" t="s">
        <v>105</v>
      </c>
      <c r="B2" s="32"/>
      <c r="C2" s="32"/>
      <c r="D2" s="32"/>
    </row>
    <row r="4" spans="1:4" x14ac:dyDescent="0.2">
      <c r="A4" s="27" t="s">
        <v>106</v>
      </c>
      <c r="B4" s="27" t="s">
        <v>107</v>
      </c>
      <c r="C4" s="27" t="s">
        <v>108</v>
      </c>
    </row>
    <row r="5" spans="1:4" x14ac:dyDescent="0.2">
      <c r="A5" s="11" t="s">
        <v>44</v>
      </c>
      <c r="B5" s="28">
        <v>280</v>
      </c>
      <c r="C5" s="29" t="s">
        <v>109</v>
      </c>
    </row>
    <row r="6" spans="1:4" x14ac:dyDescent="0.2">
      <c r="A6" s="11" t="s">
        <v>45</v>
      </c>
      <c r="B6" s="28">
        <v>100</v>
      </c>
      <c r="C6" s="29" t="s">
        <v>110</v>
      </c>
    </row>
    <row r="7" spans="1:4" x14ac:dyDescent="0.2">
      <c r="A7" s="11" t="s">
        <v>46</v>
      </c>
      <c r="B7" s="28">
        <v>80</v>
      </c>
      <c r="C7" s="29" t="s">
        <v>111</v>
      </c>
    </row>
    <row r="8" spans="1:4" x14ac:dyDescent="0.2">
      <c r="A8" s="11" t="s">
        <v>112</v>
      </c>
      <c r="B8" s="28">
        <v>200</v>
      </c>
      <c r="C8" s="29" t="s">
        <v>113</v>
      </c>
    </row>
    <row r="9" spans="1:4" x14ac:dyDescent="0.2">
      <c r="A9" s="11" t="s">
        <v>47</v>
      </c>
      <c r="B9" s="28">
        <v>60</v>
      </c>
      <c r="C9" s="29" t="s">
        <v>114</v>
      </c>
    </row>
    <row r="10" spans="1:4" x14ac:dyDescent="0.2">
      <c r="A10" s="11" t="s">
        <v>48</v>
      </c>
      <c r="B10" s="28">
        <v>0</v>
      </c>
      <c r="C10" s="29" t="s">
        <v>115</v>
      </c>
    </row>
    <row r="13" spans="1:4" x14ac:dyDescent="0.2">
      <c r="A13" s="37" t="s">
        <v>116</v>
      </c>
      <c r="B13" s="32"/>
      <c r="C13" s="32"/>
    </row>
    <row r="14" spans="1:4" x14ac:dyDescent="0.2">
      <c r="A14" s="8" t="s">
        <v>117</v>
      </c>
      <c r="B14" s="8" t="s">
        <v>118</v>
      </c>
    </row>
    <row r="15" spans="1:4" x14ac:dyDescent="0.2">
      <c r="A15" s="8" t="s">
        <v>119</v>
      </c>
      <c r="B15" s="8" t="s">
        <v>120</v>
      </c>
    </row>
    <row r="16" spans="1:4" x14ac:dyDescent="0.2">
      <c r="A16" s="8" t="s">
        <v>121</v>
      </c>
      <c r="B16" s="8" t="s">
        <v>122</v>
      </c>
    </row>
    <row r="17" spans="1:2" x14ac:dyDescent="0.2">
      <c r="A17" s="8" t="s">
        <v>123</v>
      </c>
      <c r="B17" s="8" t="s">
        <v>124</v>
      </c>
    </row>
  </sheetData>
  <mergeCells count="3">
    <mergeCell ref="A1:D1"/>
    <mergeCell ref="A13:C1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"/>
  <sheetViews>
    <sheetView workbookViewId="0">
      <selection sqref="A1:D1"/>
    </sheetView>
  </sheetViews>
  <sheetFormatPr baseColWidth="10" defaultColWidth="8.83203125" defaultRowHeight="15" x14ac:dyDescent="0.2"/>
  <cols>
    <col min="1" max="1" width="25" customWidth="1"/>
    <col min="2" max="2" width="20" customWidth="1"/>
    <col min="3" max="3" width="40" customWidth="1"/>
  </cols>
  <sheetData>
    <row r="1" spans="1:4" ht="18" x14ac:dyDescent="0.2">
      <c r="A1" s="47" t="s">
        <v>0</v>
      </c>
      <c r="B1" s="32"/>
      <c r="C1" s="32"/>
      <c r="D1" s="32"/>
    </row>
    <row r="2" spans="1:4" x14ac:dyDescent="0.2">
      <c r="A2" s="50" t="s">
        <v>125</v>
      </c>
      <c r="B2" s="32"/>
      <c r="C2" s="32"/>
      <c r="D2" s="32"/>
    </row>
    <row r="4" spans="1:4" x14ac:dyDescent="0.2">
      <c r="A4" s="37" t="s">
        <v>126</v>
      </c>
      <c r="B4" s="32"/>
      <c r="C4" s="32"/>
    </row>
    <row r="5" spans="1:4" x14ac:dyDescent="0.2">
      <c r="A5" s="49" t="s">
        <v>127</v>
      </c>
      <c r="B5" s="32"/>
      <c r="C5" s="32"/>
    </row>
    <row r="6" spans="1:4" x14ac:dyDescent="0.2">
      <c r="A6" s="49" t="s">
        <v>128</v>
      </c>
      <c r="B6" s="32"/>
      <c r="C6" s="32"/>
    </row>
    <row r="7" spans="1:4" x14ac:dyDescent="0.2">
      <c r="A7" s="49" t="s">
        <v>129</v>
      </c>
      <c r="B7" s="32"/>
      <c r="C7" s="32"/>
    </row>
    <row r="8" spans="1:4" x14ac:dyDescent="0.2">
      <c r="A8" s="49" t="s">
        <v>130</v>
      </c>
      <c r="B8" s="32"/>
      <c r="C8" s="32"/>
    </row>
    <row r="9" spans="1:4" x14ac:dyDescent="0.2">
      <c r="A9" s="49" t="s">
        <v>131</v>
      </c>
      <c r="B9" s="32"/>
      <c r="C9" s="32"/>
    </row>
    <row r="10" spans="1:4" x14ac:dyDescent="0.2">
      <c r="A10" s="49" t="s">
        <v>132</v>
      </c>
      <c r="B10" s="32"/>
      <c r="C10" s="32"/>
    </row>
    <row r="11" spans="1:4" x14ac:dyDescent="0.2">
      <c r="A11" s="49" t="s">
        <v>133</v>
      </c>
      <c r="B11" s="32"/>
      <c r="C11" s="32"/>
    </row>
    <row r="12" spans="1:4" x14ac:dyDescent="0.2">
      <c r="A12" s="49" t="s">
        <v>134</v>
      </c>
      <c r="B12" s="32"/>
      <c r="C12" s="32"/>
    </row>
    <row r="13" spans="1:4" x14ac:dyDescent="0.2">
      <c r="A13" s="49" t="s">
        <v>135</v>
      </c>
      <c r="B13" s="32"/>
      <c r="C13" s="32"/>
    </row>
    <row r="14" spans="1:4" x14ac:dyDescent="0.2">
      <c r="A14" s="49" t="s">
        <v>136</v>
      </c>
      <c r="B14" s="32"/>
      <c r="C14" s="32"/>
    </row>
    <row r="15" spans="1:4" x14ac:dyDescent="0.2">
      <c r="A15" s="49" t="s">
        <v>137</v>
      </c>
      <c r="B15" s="32"/>
      <c r="C15" s="32"/>
    </row>
    <row r="17" spans="1:3" x14ac:dyDescent="0.2">
      <c r="A17" s="37" t="s">
        <v>138</v>
      </c>
      <c r="B17" s="32"/>
      <c r="C17" s="32"/>
    </row>
    <row r="18" spans="1:3" x14ac:dyDescent="0.2">
      <c r="A18" s="27" t="s">
        <v>139</v>
      </c>
      <c r="B18" s="27" t="s">
        <v>140</v>
      </c>
      <c r="C18" s="27" t="s">
        <v>141</v>
      </c>
    </row>
    <row r="19" spans="1:3" x14ac:dyDescent="0.2">
      <c r="A19" s="30">
        <v>200</v>
      </c>
      <c r="B19" s="19">
        <v>52.35</v>
      </c>
      <c r="C19" s="19">
        <v>209.4</v>
      </c>
    </row>
    <row r="20" spans="1:3" x14ac:dyDescent="0.2">
      <c r="A20" s="30">
        <v>500</v>
      </c>
      <c r="B20" s="19">
        <v>130.88</v>
      </c>
      <c r="C20" s="19">
        <v>523.5</v>
      </c>
    </row>
    <row r="21" spans="1:3" x14ac:dyDescent="0.2">
      <c r="A21" s="30">
        <v>800</v>
      </c>
      <c r="B21" s="19">
        <v>209.4</v>
      </c>
      <c r="C21" s="19">
        <v>837.6</v>
      </c>
    </row>
    <row r="22" spans="1:3" x14ac:dyDescent="0.2">
      <c r="A22" s="30">
        <v>1000</v>
      </c>
      <c r="B22" s="19">
        <v>261.75</v>
      </c>
      <c r="C22" s="19">
        <v>1047</v>
      </c>
    </row>
    <row r="23" spans="1:3" x14ac:dyDescent="0.2">
      <c r="A23" s="30">
        <v>1200</v>
      </c>
      <c r="B23" s="19">
        <v>314.10000000000002</v>
      </c>
      <c r="C23" s="19">
        <v>1256.4000000000001</v>
      </c>
    </row>
    <row r="24" spans="1:3" x14ac:dyDescent="0.2">
      <c r="A24" s="30">
        <v>1500</v>
      </c>
      <c r="B24" s="19">
        <v>392.63</v>
      </c>
      <c r="C24" s="19">
        <v>1570.5</v>
      </c>
    </row>
    <row r="25" spans="1:3" x14ac:dyDescent="0.2">
      <c r="A25" s="30">
        <v>2000</v>
      </c>
      <c r="B25" s="19">
        <v>523.5</v>
      </c>
      <c r="C25" s="19">
        <v>2094</v>
      </c>
    </row>
    <row r="27" spans="1:3" x14ac:dyDescent="0.2">
      <c r="A27" s="48" t="s">
        <v>142</v>
      </c>
      <c r="B27" s="32"/>
      <c r="C27" s="32"/>
    </row>
    <row r="28" spans="1:3" x14ac:dyDescent="0.2">
      <c r="A28" s="49" t="s">
        <v>143</v>
      </c>
      <c r="B28" s="32"/>
      <c r="C28" s="32"/>
    </row>
    <row r="29" spans="1:3" x14ac:dyDescent="0.2">
      <c r="A29" s="49" t="s">
        <v>144</v>
      </c>
      <c r="B29" s="32"/>
      <c r="C29" s="32"/>
    </row>
    <row r="30" spans="1:3" x14ac:dyDescent="0.2">
      <c r="A30" s="49" t="s">
        <v>145</v>
      </c>
      <c r="B30" s="32"/>
      <c r="C30" s="32"/>
    </row>
    <row r="31" spans="1:3" x14ac:dyDescent="0.2">
      <c r="A31" s="49" t="s">
        <v>146</v>
      </c>
      <c r="B31" s="32"/>
      <c r="C31" s="32"/>
    </row>
    <row r="32" spans="1:3" x14ac:dyDescent="0.2">
      <c r="A32" s="49" t="s">
        <v>147</v>
      </c>
      <c r="B32" s="32"/>
      <c r="C32" s="32"/>
    </row>
    <row r="33" spans="1:3" x14ac:dyDescent="0.2">
      <c r="A33" s="49" t="s">
        <v>148</v>
      </c>
      <c r="B33" s="32"/>
      <c r="C33" s="32"/>
    </row>
    <row r="34" spans="1:3" x14ac:dyDescent="0.2">
      <c r="A34" s="49" t="s">
        <v>149</v>
      </c>
      <c r="B34" s="32"/>
      <c r="C34" s="32"/>
    </row>
    <row r="36" spans="1:3" x14ac:dyDescent="0.2">
      <c r="A36" s="37" t="s">
        <v>150</v>
      </c>
      <c r="B36" s="32"/>
      <c r="C36" s="32"/>
    </row>
    <row r="37" spans="1:3" x14ac:dyDescent="0.2">
      <c r="A37" s="27" t="s">
        <v>151</v>
      </c>
      <c r="B37" s="27" t="s">
        <v>152</v>
      </c>
      <c r="C37" s="27" t="s">
        <v>153</v>
      </c>
    </row>
    <row r="38" spans="1:3" x14ac:dyDescent="0.2">
      <c r="A38" s="11" t="s">
        <v>154</v>
      </c>
      <c r="B38" s="11" t="s">
        <v>155</v>
      </c>
      <c r="C38" s="11" t="s">
        <v>156</v>
      </c>
    </row>
    <row r="39" spans="1:3" x14ac:dyDescent="0.2">
      <c r="A39" s="11" t="s">
        <v>157</v>
      </c>
      <c r="B39" s="11" t="s">
        <v>158</v>
      </c>
      <c r="C39" s="11" t="s">
        <v>159</v>
      </c>
    </row>
    <row r="40" spans="1:3" x14ac:dyDescent="0.2">
      <c r="A40" s="11" t="s">
        <v>160</v>
      </c>
      <c r="B40" s="11" t="s">
        <v>161</v>
      </c>
      <c r="C40" s="11" t="s">
        <v>162</v>
      </c>
    </row>
    <row r="41" spans="1:3" x14ac:dyDescent="0.2">
      <c r="A41" s="11" t="s">
        <v>163</v>
      </c>
      <c r="B41" s="11" t="s">
        <v>164</v>
      </c>
      <c r="C41" s="11" t="s">
        <v>165</v>
      </c>
    </row>
  </sheetData>
  <mergeCells count="24">
    <mergeCell ref="A34:C34"/>
    <mergeCell ref="A15:C15"/>
    <mergeCell ref="A36:C36"/>
    <mergeCell ref="A11:C11"/>
    <mergeCell ref="A6:C6"/>
    <mergeCell ref="A7:C7"/>
    <mergeCell ref="A4:C4"/>
    <mergeCell ref="A10:C10"/>
    <mergeCell ref="A1:D1"/>
    <mergeCell ref="A28:C28"/>
    <mergeCell ref="A13:C13"/>
    <mergeCell ref="A9:C9"/>
    <mergeCell ref="A2:D2"/>
    <mergeCell ref="A27:C27"/>
    <mergeCell ref="A12:C12"/>
    <mergeCell ref="A33:C33"/>
    <mergeCell ref="A5:C5"/>
    <mergeCell ref="A32:C32"/>
    <mergeCell ref="A8:C8"/>
    <mergeCell ref="A14:C14"/>
    <mergeCell ref="A17:C17"/>
    <mergeCell ref="A29:C29"/>
    <mergeCell ref="A31:C31"/>
    <mergeCell ref="A30:C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Affordability Calculator</vt:lpstr>
      <vt:lpstr>Benchmarks</vt:lpstr>
      <vt:lpstr>Quick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 Gustilo (WDHB)</cp:lastModifiedBy>
  <dcterms:created xsi:type="dcterms:W3CDTF">2026-01-12T22:29:24Z</dcterms:created>
  <dcterms:modified xsi:type="dcterms:W3CDTF">2026-02-01T22:01:33Z</dcterms:modified>
</cp:coreProperties>
</file>